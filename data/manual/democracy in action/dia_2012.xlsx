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parslow/Documents/repos/presidential-endorsements/data/manual/democracy in action/"/>
    </mc:Choice>
  </mc:AlternateContent>
  <xr:revisionPtr revIDLastSave="0" documentId="13_ncr:1_{26293523-679A-4343-AA3D-EF951B6A2AA8}" xr6:coauthVersionLast="47" xr6:coauthVersionMax="47" xr10:uidLastSave="{00000000-0000-0000-0000-000000000000}"/>
  <bookViews>
    <workbookView xWindow="0" yWindow="740" windowWidth="29400" windowHeight="18380" xr2:uid="{C807FC4C-F04B-7D40-B766-0102ED4476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2" i="1"/>
</calcChain>
</file>

<file path=xl/sharedStrings.xml><?xml version="1.0" encoding="utf-8"?>
<sst xmlns="http://schemas.openxmlformats.org/spreadsheetml/2006/main" count="1329" uniqueCount="528">
  <si>
    <t>contest</t>
  </si>
  <si>
    <t>party</t>
  </si>
  <si>
    <t>endorsee</t>
  </si>
  <si>
    <t>endorser</t>
  </si>
  <si>
    <t>endorser_first_name</t>
  </si>
  <si>
    <t>endorser_last_name</t>
  </si>
  <si>
    <t>description</t>
  </si>
  <si>
    <t>date</t>
  </si>
  <si>
    <t>date_precision</t>
  </si>
  <si>
    <t>state</t>
  </si>
  <si>
    <t>district</t>
  </si>
  <si>
    <t>first_choice</t>
  </si>
  <si>
    <t>previous_candidate</t>
  </si>
  <si>
    <t>notes</t>
  </si>
  <si>
    <t>additional_source</t>
  </si>
  <si>
    <t>Romney</t>
  </si>
  <si>
    <t>Jan Brewer</t>
  </si>
  <si>
    <t>Butch Otter</t>
  </si>
  <si>
    <t>Rick Snyder</t>
  </si>
  <si>
    <t>Phil Bryant</t>
  </si>
  <si>
    <t>Dave Heineman</t>
  </si>
  <si>
    <t>Chris Christie</t>
  </si>
  <si>
    <t>Nikki Haley</t>
  </si>
  <si>
    <t>Bill Haslam</t>
  </si>
  <si>
    <t>Bob McDonnell</t>
  </si>
  <si>
    <t>Gary Herbert</t>
  </si>
  <si>
    <t>Luis Fortuño</t>
  </si>
  <si>
    <t>Eddie Baza Calvo</t>
  </si>
  <si>
    <t>Benigno R. Fitial</t>
  </si>
  <si>
    <t>Governor</t>
  </si>
  <si>
    <t>day</t>
  </si>
  <si>
    <t>AZ</t>
  </si>
  <si>
    <t>ID</t>
  </si>
  <si>
    <t>MI</t>
  </si>
  <si>
    <t>MS</t>
  </si>
  <si>
    <t>NE</t>
  </si>
  <si>
    <t>NJ</t>
  </si>
  <si>
    <t>SC</t>
  </si>
  <si>
    <t>TN</t>
  </si>
  <si>
    <t>VA</t>
  </si>
  <si>
    <t>UT</t>
  </si>
  <si>
    <t>PR</t>
  </si>
  <si>
    <t>GU</t>
  </si>
  <si>
    <t>CNMI</t>
  </si>
  <si>
    <t>Jan</t>
  </si>
  <si>
    <t>Brewer</t>
  </si>
  <si>
    <t>Butch</t>
  </si>
  <si>
    <t>Otter</t>
  </si>
  <si>
    <t>Rick</t>
  </si>
  <si>
    <t>Snyder</t>
  </si>
  <si>
    <t>Phil</t>
  </si>
  <si>
    <t>Bryant</t>
  </si>
  <si>
    <t>Dave</t>
  </si>
  <si>
    <t>Heineman</t>
  </si>
  <si>
    <t>Chris</t>
  </si>
  <si>
    <t>Christie</t>
  </si>
  <si>
    <t>Nikki</t>
  </si>
  <si>
    <t>Haley</t>
  </si>
  <si>
    <t>Bill</t>
  </si>
  <si>
    <t>Haslam</t>
  </si>
  <si>
    <t>Bob</t>
  </si>
  <si>
    <t>McDonnell</t>
  </si>
  <si>
    <t>Gary</t>
  </si>
  <si>
    <t>Herbert</t>
  </si>
  <si>
    <t>Luis</t>
  </si>
  <si>
    <t>Fortuño</t>
  </si>
  <si>
    <t>Eddie</t>
  </si>
  <si>
    <t>Baza Calvo</t>
  </si>
  <si>
    <t>Benigno</t>
  </si>
  <si>
    <t>Fitial</t>
  </si>
  <si>
    <t>Lisa Murkowski</t>
  </si>
  <si>
    <t>John McCain</t>
  </si>
  <si>
    <t>Jim Risch</t>
  </si>
  <si>
    <t>Mark Kirk</t>
  </si>
  <si>
    <t>Scott Brown</t>
  </si>
  <si>
    <t>Thad Cochran</t>
  </si>
  <si>
    <t>Roy Blunt</t>
  </si>
  <si>
    <t>Mike Johanns</t>
  </si>
  <si>
    <t>Kelly Ayotte</t>
  </si>
  <si>
    <t>Richard Burr</t>
  </si>
  <si>
    <t>John Hoeven</t>
  </si>
  <si>
    <t>Rob Portman</t>
  </si>
  <si>
    <t>Tom Coburn</t>
  </si>
  <si>
    <t>John Thune</t>
  </si>
  <si>
    <t>Lamar Alexander</t>
  </si>
  <si>
    <t>Orrin Hatch</t>
  </si>
  <si>
    <t>Mike Lee</t>
  </si>
  <si>
    <t>Ron Johnson</t>
  </si>
  <si>
    <t>Marco Rubio</t>
  </si>
  <si>
    <t>U.S. Senator</t>
  </si>
  <si>
    <t>AK</t>
  </si>
  <si>
    <t>IL</t>
  </si>
  <si>
    <t>MA</t>
  </si>
  <si>
    <t>MO</t>
  </si>
  <si>
    <t>NH</t>
  </si>
  <si>
    <t>NC</t>
  </si>
  <si>
    <t>ND</t>
  </si>
  <si>
    <t>OH</t>
  </si>
  <si>
    <t>OK</t>
  </si>
  <si>
    <t>SD</t>
  </si>
  <si>
    <t>WI</t>
  </si>
  <si>
    <t>FL</t>
  </si>
  <si>
    <t>note date of formal endorsement, Hatch is a longtime supporter and expressed preference for Romney in 2010</t>
  </si>
  <si>
    <t>endorsement made after state's primary</t>
  </si>
  <si>
    <t>Lisa</t>
  </si>
  <si>
    <t>Murkowski</t>
  </si>
  <si>
    <t>John</t>
  </si>
  <si>
    <t>McCain</t>
  </si>
  <si>
    <t>Jim</t>
  </si>
  <si>
    <t>Risch</t>
  </si>
  <si>
    <t>Mark</t>
  </si>
  <si>
    <t>Kirk</t>
  </si>
  <si>
    <t>Scott</t>
  </si>
  <si>
    <t>Brown</t>
  </si>
  <si>
    <t>Thad</t>
  </si>
  <si>
    <t>Cochran</t>
  </si>
  <si>
    <t>Roy</t>
  </si>
  <si>
    <t>Blunt</t>
  </si>
  <si>
    <t>Mike</t>
  </si>
  <si>
    <t>Johanns</t>
  </si>
  <si>
    <t>Kelly</t>
  </si>
  <si>
    <t>Ayotte</t>
  </si>
  <si>
    <t>Richard</t>
  </si>
  <si>
    <t>Burr</t>
  </si>
  <si>
    <t>Hoeven</t>
  </si>
  <si>
    <t>Rob</t>
  </si>
  <si>
    <t>Portman</t>
  </si>
  <si>
    <t>Tom</t>
  </si>
  <si>
    <t>Coburn</t>
  </si>
  <si>
    <t>Thune</t>
  </si>
  <si>
    <t>Lamar</t>
  </si>
  <si>
    <t>Alexander</t>
  </si>
  <si>
    <t>Orrin</t>
  </si>
  <si>
    <t>Hatch</t>
  </si>
  <si>
    <t>Lee</t>
  </si>
  <si>
    <t>Ron</t>
  </si>
  <si>
    <t>Johnson</t>
  </si>
  <si>
    <t>Marco</t>
  </si>
  <si>
    <t>Rubio</t>
  </si>
  <si>
    <t>Mike Rogers</t>
  </si>
  <si>
    <t>Jeff Flake</t>
  </si>
  <si>
    <t>Tim Griffin</t>
  </si>
  <si>
    <t>Steve Womack</t>
  </si>
  <si>
    <t>Wally Herger</t>
  </si>
  <si>
    <t>Jeff Denham</t>
  </si>
  <si>
    <t>Kevin McCarthy</t>
  </si>
  <si>
    <t>Buck McKeon</t>
  </si>
  <si>
    <t>Jerry Lewis</t>
  </si>
  <si>
    <t>Ken Calvert</t>
  </si>
  <si>
    <t>Mary Bono Mack</t>
  </si>
  <si>
    <t>Dana Rohrabacher</t>
  </si>
  <si>
    <t>John Campbell</t>
  </si>
  <si>
    <t>Darrell Issa</t>
  </si>
  <si>
    <t>Brian Bibray</t>
  </si>
  <si>
    <t>Jeff Miller</t>
  </si>
  <si>
    <t>Ander Crenshaw</t>
  </si>
  <si>
    <t>John Mica</t>
  </si>
  <si>
    <t>Connie Mack</t>
  </si>
  <si>
    <t>Tom Rooney</t>
  </si>
  <si>
    <t>Ileana Ros-Lehtinen</t>
  </si>
  <si>
    <t>Mario Diaz Balart</t>
  </si>
  <si>
    <t>Sandy Adams</t>
  </si>
  <si>
    <t>Mike Simpson</t>
  </si>
  <si>
    <t>Robert Dold</t>
  </si>
  <si>
    <t>Judy Biggert</t>
  </si>
  <si>
    <t>Aaron Schock</t>
  </si>
  <si>
    <t>John Shimkus</t>
  </si>
  <si>
    <t>Todd Rokita</t>
  </si>
  <si>
    <t>Ed Whitfield</t>
  </si>
  <si>
    <t>Harold Rogers</t>
  </si>
  <si>
    <t>Rodney Alexander</t>
  </si>
  <si>
    <t>Dan Benishek</t>
  </si>
  <si>
    <t>Bill Huizenga</t>
  </si>
  <si>
    <t>Dave Camp</t>
  </si>
  <si>
    <t>Fred Upton</t>
  </si>
  <si>
    <t>Tim Walberg</t>
  </si>
  <si>
    <t>Thaddeus McCotter</t>
  </si>
  <si>
    <t>Candice Miller</t>
  </si>
  <si>
    <t>Erik Paulsen</t>
  </si>
  <si>
    <t>Billy Long</t>
  </si>
  <si>
    <t>Mark Amodei</t>
  </si>
  <si>
    <t>Joe Heck</t>
  </si>
  <si>
    <t>Charlie Bass</t>
  </si>
  <si>
    <t>Leonard Lance</t>
  </si>
  <si>
    <t>Michael Grimm</t>
  </si>
  <si>
    <t>Nan Hayworth</t>
  </si>
  <si>
    <t>Virginia Foxx</t>
  </si>
  <si>
    <t>Howard Coble</t>
  </si>
  <si>
    <t>Patrick McHenry</t>
  </si>
  <si>
    <t>Mike Turner</t>
  </si>
  <si>
    <t>Steve LaTourette</t>
  </si>
  <si>
    <t>Jim Renacci</t>
  </si>
  <si>
    <t>Greg Walden</t>
  </si>
  <si>
    <t>Jim Gerlach</t>
  </si>
  <si>
    <t>Mike Fitzpatrick</t>
  </si>
  <si>
    <t>Bill Shuster</t>
  </si>
  <si>
    <t>Charlie Dent</t>
  </si>
  <si>
    <t>Phil Roe</t>
  </si>
  <si>
    <t>Jimmy Duncan</t>
  </si>
  <si>
    <t>Diane Black</t>
  </si>
  <si>
    <t>Scott DesJarlais</t>
  </si>
  <si>
    <t>Mike Conaway</t>
  </si>
  <si>
    <t>Kay Granger</t>
  </si>
  <si>
    <t>Mac Thornberry</t>
  </si>
  <si>
    <t>Lamar Smith</t>
  </si>
  <si>
    <t>Pete Olson</t>
  </si>
  <si>
    <t>John Carter</t>
  </si>
  <si>
    <t>Pete Sessions</t>
  </si>
  <si>
    <t>Rob Bishop</t>
  </si>
  <si>
    <t>Jason Chaffetz</t>
  </si>
  <si>
    <t>Eric Cantor</t>
  </si>
  <si>
    <t>Jaime Herrera Beutler</t>
  </si>
  <si>
    <t>Cathy McMorris Rodgers</t>
  </si>
  <si>
    <t>Dave Reichert</t>
  </si>
  <si>
    <t>Paul Ryan</t>
  </si>
  <si>
    <t>Cynthia Lummis</t>
  </si>
  <si>
    <t>AL</t>
  </si>
  <si>
    <t>AR</t>
  </si>
  <si>
    <t>CA</t>
  </si>
  <si>
    <t>IN</t>
  </si>
  <si>
    <t>KY</t>
  </si>
  <si>
    <t>LA</t>
  </si>
  <si>
    <t>MN</t>
  </si>
  <si>
    <t>NV</t>
  </si>
  <si>
    <t>NY</t>
  </si>
  <si>
    <t>OR</t>
  </si>
  <si>
    <t>PA</t>
  </si>
  <si>
    <t>TX</t>
  </si>
  <si>
    <t>WA</t>
  </si>
  <si>
    <t>WY</t>
  </si>
  <si>
    <r>
      <t xml:space="preserve">reported by </t>
    </r>
    <r>
      <rPr>
        <i/>
        <sz val="12"/>
        <color theme="1"/>
        <rFont val="Aptos Narrow"/>
        <scheme val="minor"/>
      </rPr>
      <t>St. Petersburg Times</t>
    </r>
  </si>
  <si>
    <t>Rogers</t>
  </si>
  <si>
    <t>Jeff</t>
  </si>
  <si>
    <t>Flake</t>
  </si>
  <si>
    <t>Tim</t>
  </si>
  <si>
    <t>Griffin</t>
  </si>
  <si>
    <t>Steve</t>
  </si>
  <si>
    <t>Womack</t>
  </si>
  <si>
    <t>Wally</t>
  </si>
  <si>
    <t>Herger</t>
  </si>
  <si>
    <t>Denham</t>
  </si>
  <si>
    <t>Kevin</t>
  </si>
  <si>
    <t>McCarthy</t>
  </si>
  <si>
    <t>Buck</t>
  </si>
  <si>
    <t>McKeon</t>
  </si>
  <si>
    <t>Jerry</t>
  </si>
  <si>
    <t>Lewis</t>
  </si>
  <si>
    <t>Ken</t>
  </si>
  <si>
    <t>Calvert</t>
  </si>
  <si>
    <t>Mary</t>
  </si>
  <si>
    <t>Bono Mack</t>
  </si>
  <si>
    <t>Dana</t>
  </si>
  <si>
    <t>Rohrabacher</t>
  </si>
  <si>
    <t>Campbell</t>
  </si>
  <si>
    <t>Darrell</t>
  </si>
  <si>
    <t>Issa</t>
  </si>
  <si>
    <t>Brian</t>
  </si>
  <si>
    <t>Bilbray</t>
  </si>
  <si>
    <t>Miller</t>
  </si>
  <si>
    <t>Ander</t>
  </si>
  <si>
    <t>Crenshaw</t>
  </si>
  <si>
    <t>Mica</t>
  </si>
  <si>
    <t>Connie</t>
  </si>
  <si>
    <t>Mack</t>
  </si>
  <si>
    <t>Rooney</t>
  </si>
  <si>
    <t>Ileana</t>
  </si>
  <si>
    <t>Ros-Lehtinen</t>
  </si>
  <si>
    <t>Mario</t>
  </si>
  <si>
    <t>Diaz Balart</t>
  </si>
  <si>
    <t>Sandy</t>
  </si>
  <si>
    <t>Adams</t>
  </si>
  <si>
    <t>Simpson</t>
  </si>
  <si>
    <t>Robert</t>
  </si>
  <si>
    <t>Dold</t>
  </si>
  <si>
    <t>Judy</t>
  </si>
  <si>
    <t>Biggert</t>
  </si>
  <si>
    <t>Aaron</t>
  </si>
  <si>
    <t>Schock</t>
  </si>
  <si>
    <t>Shimkus</t>
  </si>
  <si>
    <t>Todd</t>
  </si>
  <si>
    <t>Rokita</t>
  </si>
  <si>
    <t>Whitfield</t>
  </si>
  <si>
    <t>Harold</t>
  </si>
  <si>
    <t>Rodney</t>
  </si>
  <si>
    <t>Dan</t>
  </si>
  <si>
    <t>Benishek</t>
  </si>
  <si>
    <t>Huizenga</t>
  </si>
  <si>
    <t>Camp</t>
  </si>
  <si>
    <t>Fred</t>
  </si>
  <si>
    <t>Upton</t>
  </si>
  <si>
    <t>Walberg</t>
  </si>
  <si>
    <t>Thaddeus</t>
  </si>
  <si>
    <t>McCotter</t>
  </si>
  <si>
    <t>Candice</t>
  </si>
  <si>
    <t>Erik</t>
  </si>
  <si>
    <t>Paulsen</t>
  </si>
  <si>
    <t>Billy</t>
  </si>
  <si>
    <t>Long</t>
  </si>
  <si>
    <t>Amodei</t>
  </si>
  <si>
    <t>Joe</t>
  </si>
  <si>
    <t>Heck</t>
  </si>
  <si>
    <t>Charlie</t>
  </si>
  <si>
    <t>Bass</t>
  </si>
  <si>
    <t>Leonard</t>
  </si>
  <si>
    <t>Lance</t>
  </si>
  <si>
    <t>Michael</t>
  </si>
  <si>
    <t>Grimm</t>
  </si>
  <si>
    <t>Nan</t>
  </si>
  <si>
    <t>Hayworth</t>
  </si>
  <si>
    <t>Virginia</t>
  </si>
  <si>
    <t>Foxx</t>
  </si>
  <si>
    <t>Howard</t>
  </si>
  <si>
    <t>Coble</t>
  </si>
  <si>
    <t>Partick</t>
  </si>
  <si>
    <t>McHenry</t>
  </si>
  <si>
    <t>Turner</t>
  </si>
  <si>
    <t>LaTourette</t>
  </si>
  <si>
    <t>Renacci</t>
  </si>
  <si>
    <t>Greg</t>
  </si>
  <si>
    <t>Walden</t>
  </si>
  <si>
    <t>Gerlach</t>
  </si>
  <si>
    <t>Fitzpatrick</t>
  </si>
  <si>
    <t>Shuster</t>
  </si>
  <si>
    <t>Dent</t>
  </si>
  <si>
    <t>Roe</t>
  </si>
  <si>
    <t>Jimmy</t>
  </si>
  <si>
    <t>Duncan</t>
  </si>
  <si>
    <t>Diane</t>
  </si>
  <si>
    <t>Black</t>
  </si>
  <si>
    <t>DesJarlais</t>
  </si>
  <si>
    <t>Conaway</t>
  </si>
  <si>
    <t>Kay</t>
  </si>
  <si>
    <t>Granger</t>
  </si>
  <si>
    <t>Mac</t>
  </si>
  <si>
    <t>Thornberry</t>
  </si>
  <si>
    <t>Smith</t>
  </si>
  <si>
    <t>Pete</t>
  </si>
  <si>
    <t>Olson</t>
  </si>
  <si>
    <t>Carter</t>
  </si>
  <si>
    <t>Sessions</t>
  </si>
  <si>
    <t>Bishop</t>
  </si>
  <si>
    <t>Jason</t>
  </si>
  <si>
    <t>Chaffetz</t>
  </si>
  <si>
    <t>Eric</t>
  </si>
  <si>
    <t>Cantor</t>
  </si>
  <si>
    <t>Jaime</t>
  </si>
  <si>
    <t>Herrera Beutler</t>
  </si>
  <si>
    <t>Cathy</t>
  </si>
  <si>
    <t>McMorris Rodgers</t>
  </si>
  <si>
    <t>Reichert</t>
  </si>
  <si>
    <t>Paul</t>
  </si>
  <si>
    <t>Ryan</t>
  </si>
  <si>
    <t>Cynthia</t>
  </si>
  <si>
    <t>Lummis</t>
  </si>
  <si>
    <t>U.S. Representative</t>
  </si>
  <si>
    <t>Gingrich</t>
  </si>
  <si>
    <t>Nathan Deal</t>
  </si>
  <si>
    <t>Rick Perry</t>
  </si>
  <si>
    <t>Trent Franks</t>
  </si>
  <si>
    <t>Dan Lungren</t>
  </si>
  <si>
    <t>David Rivera</t>
  </si>
  <si>
    <t>Jack Kingston</t>
  </si>
  <si>
    <t>Lynn Westmoreland</t>
  </si>
  <si>
    <t>Tom Price</t>
  </si>
  <si>
    <t>Scott Austin</t>
  </si>
  <si>
    <t>Phil Gingrey</t>
  </si>
  <si>
    <t>Dan Burton</t>
  </si>
  <si>
    <t>Andy Harris</t>
  </si>
  <si>
    <t>Joe Barton</t>
  </si>
  <si>
    <t>Michael Burgess</t>
  </si>
  <si>
    <t>month</t>
  </si>
  <si>
    <t>GA</t>
  </si>
  <si>
    <t>MD</t>
  </si>
  <si>
    <t>Nathan</t>
  </si>
  <si>
    <t>Deal</t>
  </si>
  <si>
    <t>Perry</t>
  </si>
  <si>
    <t>Trent</t>
  </si>
  <si>
    <t>Franks</t>
  </si>
  <si>
    <t>Lungren</t>
  </si>
  <si>
    <t>David</t>
  </si>
  <si>
    <t>Rivera</t>
  </si>
  <si>
    <t>Jack</t>
  </si>
  <si>
    <t>Kingston</t>
  </si>
  <si>
    <t>Lynn</t>
  </si>
  <si>
    <t>Westmoreland</t>
  </si>
  <si>
    <t>Price</t>
  </si>
  <si>
    <t>Austin</t>
  </si>
  <si>
    <t>Gingrey</t>
  </si>
  <si>
    <t>Burton</t>
  </si>
  <si>
    <t>Andy</t>
  </si>
  <si>
    <t>Harris</t>
  </si>
  <si>
    <t>Barton</t>
  </si>
  <si>
    <t>Burgess</t>
  </si>
  <si>
    <t>Rand Paul</t>
  </si>
  <si>
    <t>Tim Johnson</t>
  </si>
  <si>
    <t>Justin</t>
  </si>
  <si>
    <t>Justin Amash</t>
  </si>
  <si>
    <t>Walter Jones</t>
  </si>
  <si>
    <t>Rand</t>
  </si>
  <si>
    <t>Amash</t>
  </si>
  <si>
    <t>Walter</t>
  </si>
  <si>
    <t>Jones</t>
  </si>
  <si>
    <t>Santorum</t>
  </si>
  <si>
    <t>Robert Aderholt</t>
  </si>
  <si>
    <t>Alan Nunnelee</t>
  </si>
  <si>
    <t>Jo Ann Emerson</t>
  </si>
  <si>
    <t>Glenn Thompson</t>
  </si>
  <si>
    <t>Tom Marino</t>
  </si>
  <si>
    <t>Lou Barletta</t>
  </si>
  <si>
    <t>Aderholt</t>
  </si>
  <si>
    <t>Alan</t>
  </si>
  <si>
    <t>Nunnelee</t>
  </si>
  <si>
    <t>Jo Ann</t>
  </si>
  <si>
    <t>Emerson</t>
  </si>
  <si>
    <t>Glenn</t>
  </si>
  <si>
    <t>Thompson</t>
  </si>
  <si>
    <t>Marino</t>
  </si>
  <si>
    <t>Lou</t>
  </si>
  <si>
    <t>Barletta</t>
  </si>
  <si>
    <r>
      <t xml:space="preserve">reported by </t>
    </r>
    <r>
      <rPr>
        <i/>
        <sz val="12"/>
        <color theme="1"/>
        <rFont val="Aptos Narrow"/>
        <scheme val="minor"/>
      </rPr>
      <t>The Hill</t>
    </r>
  </si>
  <si>
    <t>Sam Brownback</t>
  </si>
  <si>
    <t>Bobby Jindal</t>
  </si>
  <si>
    <t>Brian Sandoval</t>
  </si>
  <si>
    <t>Jim Inhofe</t>
  </si>
  <si>
    <t>Mike Coffman</t>
  </si>
  <si>
    <t>Steve Scalise</t>
  </si>
  <si>
    <t>Sam Graves</t>
  </si>
  <si>
    <t>Mick Mulvaney</t>
  </si>
  <si>
    <t>Sam Johnson</t>
  </si>
  <si>
    <t>Jeb Hensarling</t>
  </si>
  <si>
    <t>John Culberson</t>
  </si>
  <si>
    <t>Michael McCaul</t>
  </si>
  <si>
    <t>Kenny Marchant</t>
  </si>
  <si>
    <t>endorsement made after state's primary; previously backed Perry</t>
  </si>
  <si>
    <t>Sam</t>
  </si>
  <si>
    <t>Brownback</t>
  </si>
  <si>
    <t>Bobby</t>
  </si>
  <si>
    <t>Jindal</t>
  </si>
  <si>
    <t>Sandoval</t>
  </si>
  <si>
    <t>Inhofe</t>
  </si>
  <si>
    <t>Coffman</t>
  </si>
  <si>
    <t>Scalise</t>
  </si>
  <si>
    <t>Graves</t>
  </si>
  <si>
    <t>Mick</t>
  </si>
  <si>
    <t>Mulvaney</t>
  </si>
  <si>
    <t>Jeb</t>
  </si>
  <si>
    <t>Hensarling</t>
  </si>
  <si>
    <t>Culberson</t>
  </si>
  <si>
    <t>McCaul</t>
  </si>
  <si>
    <t>Kenny</t>
  </si>
  <si>
    <t>Marchant</t>
  </si>
  <si>
    <t>KS</t>
  </si>
  <si>
    <t>CO</t>
  </si>
  <si>
    <r>
      <t xml:space="preserve">reported by </t>
    </r>
    <r>
      <rPr>
        <i/>
        <sz val="12"/>
        <color theme="1"/>
        <rFont val="Aptos Narrow"/>
        <scheme val="minor"/>
      </rPr>
      <t>Roll Call</t>
    </r>
  </si>
  <si>
    <r>
      <t xml:space="preserve">on </t>
    </r>
    <r>
      <rPr>
        <i/>
        <sz val="12"/>
        <color theme="1"/>
        <rFont val="Aptos Narrow"/>
        <scheme val="minor"/>
      </rPr>
      <t>ABC News Topline</t>
    </r>
  </si>
  <si>
    <t>reported by the Post-Dispatch</t>
  </si>
  <si>
    <t>Bachmann</t>
  </si>
  <si>
    <t>previously backed Bachmann</t>
  </si>
  <si>
    <t>Cain</t>
  </si>
  <si>
    <t>On Nov. 5 THEHermanCain tweeted "Proud to announce that I've received the endorsement of @CongressmanDan Benishek (R-MI)" this was never confirmed</t>
  </si>
  <si>
    <t>Pawlenty</t>
  </si>
  <si>
    <t>John Kline</t>
  </si>
  <si>
    <t>Kline</t>
  </si>
  <si>
    <t>Joe Wilson</t>
  </si>
  <si>
    <t>Wilson</t>
  </si>
  <si>
    <t>previously backed Pawlenty</t>
  </si>
  <si>
    <t>2012R</t>
  </si>
  <si>
    <t>https://www.p2012.org/romney/romney022612praz.html</t>
  </si>
  <si>
    <t>https://p2012.org/romney/romney062011prid.html</t>
  </si>
  <si>
    <t>https://www.p2012.org/romney/romney021612prmi.html</t>
  </si>
  <si>
    <t>https://www.p2012.org/romney/romney030812prms.html</t>
  </si>
  <si>
    <t>https://p2012.org/romney/romney061011prut.html</t>
  </si>
  <si>
    <t>https://www.p2012.org/romney/romney121611prsc.html</t>
  </si>
  <si>
    <t>https://www.p2012.org/romney/romney011112prtn.html</t>
  </si>
  <si>
    <t>https://www.p2012.org/romney/romney012012prva.html</t>
  </si>
  <si>
    <t>https://www.p2012.org/romney/romney020212prut.html</t>
  </si>
  <si>
    <t>https://www.p2012.org/romney/romney012712prpr.html</t>
  </si>
  <si>
    <t>https://www.p2012.org/romney/romney120211prak.html</t>
  </si>
  <si>
    <t>https://www.p2012.org/romney/romney010412praz.html</t>
  </si>
  <si>
    <t>https://www.p2012.org/romney/romney062011prid.html</t>
  </si>
  <si>
    <t>https://www.p2012.org/romney/romney121911pril.html</t>
  </si>
  <si>
    <t>https://p2012.org/romney/romney101211prms.html</t>
  </si>
  <si>
    <t>https://p2012.org/romney/romney092011prmo.html</t>
  </si>
  <si>
    <t>https://www.p2012.org/romney/romney122111prne.html</t>
  </si>
  <si>
    <t>https://p2012.org/romney/romney112011prnh.html</t>
  </si>
  <si>
    <t>https://www.p2012.org/romney/romney122911prnc.html</t>
  </si>
  <si>
    <t>https://www.p2012.org/romney/romney111811prnd.html</t>
  </si>
  <si>
    <t>https://www.p2012.org/romney/romney011912proh.html</t>
  </si>
  <si>
    <t>https://www.p2012.org/romney/romney112311prsd.html</t>
  </si>
  <si>
    <t>https://www.p2012.org/romney/romney022412prtn.html</t>
  </si>
  <si>
    <t>https://www.p2012.org/romney/romney032612prut.html</t>
  </si>
  <si>
    <t>https://www.p2012.org/romney/romney040112prwi.html</t>
  </si>
  <si>
    <t>https://p2012.org/romney/romney032812prfl.html</t>
  </si>
  <si>
    <t>https://p2012.org/romney/romney091911praz.html</t>
  </si>
  <si>
    <t>https://www.p2012.org/romney/romney011612prfl.html</t>
  </si>
  <si>
    <t>https://p2012.org/romney/romney100511prar.html</t>
  </si>
  <si>
    <t>https://www.p2012.org/romney/romney011912prar.html</t>
  </si>
  <si>
    <t>https://p2012.org/romney/romney092111prca.html</t>
  </si>
  <si>
    <t>https://www.p2012.org/romney/romney032712prca3.html</t>
  </si>
  <si>
    <t>https://www.p2012.org/romney/romney032612prca.html</t>
  </si>
  <si>
    <t>https://www.p2012.org/romney/romney120611prca.html</t>
  </si>
  <si>
    <t>https://p2012.org/romney/romney121211prca.html</t>
  </si>
  <si>
    <t>https://www.p2012.org/romney/romney092211prca.html</t>
  </si>
  <si>
    <t>https://www.p2012.org/romney/romney102811prfl.html</t>
  </si>
  <si>
    <t>https://www.p2012.org/romney/romney112911prfl.html</t>
  </si>
  <si>
    <t>https://www.p2012.org/romney/romney011812prfl.html</t>
  </si>
  <si>
    <t>https://www.p2012.org/romney/romney111411pril.html</t>
  </si>
  <si>
    <t>https://www.p2012.org/romney/romney101211pril.html</t>
  </si>
  <si>
    <t>https://www.p2012.org/romney/romney110811pril.html</t>
  </si>
  <si>
    <t>https://www.p2012.org/romney/romney031812pril.html</t>
  </si>
  <si>
    <t>https://p2012.org/romney/romney092311prin.html</t>
  </si>
  <si>
    <t>https://www.p2012.org/romney/romney101711prky.html</t>
  </si>
  <si>
    <t>https://p2012.org/romney/romney100611prla.html</t>
  </si>
  <si>
    <t>https://www.p2012.org/romney/romney012012prmi.html</t>
  </si>
  <si>
    <t>https://www.p2012.org/romney/romney010912prmi.html</t>
  </si>
  <si>
    <t>https://www.p2012.org/romney/romney122211prmi.html</t>
  </si>
  <si>
    <t>https://www.p2012.org/romney/romney020812prmi.html</t>
  </si>
  <si>
    <t>https://www.p2012.org/mccotter/mccotter092211st.html</t>
  </si>
  <si>
    <t>https://p2012.org/romney/romney032112prcm.html</t>
  </si>
  <si>
    <t>https://www.p2012.org/romney/romney012612prmn.html</t>
  </si>
  <si>
    <t>https://www.p2012.org/romney/romney011212prmo.html</t>
  </si>
  <si>
    <t>https://www.p2012.org/romney/romney102611prnv.html</t>
  </si>
  <si>
    <t>https://www.p2012.org/romney/romney112111prnh.html</t>
  </si>
  <si>
    <t>https://p2012.org/romney/romney101011prny.html</t>
  </si>
  <si>
    <t>https://www.p2012.org/romney/romney110411prny.html</t>
  </si>
  <si>
    <t>https://p2012.org/romney/romney101711prnc.html</t>
  </si>
  <si>
    <t>https://www.p2012.org/romney/romney022112proh.html</t>
  </si>
  <si>
    <t>https://www.p2012.org/romney/romney102511proh.html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</si>
</sst>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52A4-FB62-BE47-9079-2B68C2BFAFEF}">
  <dimension ref="A1:O157"/>
  <sheetViews>
    <sheetView tabSelected="1" topLeftCell="A80" zoomScale="130" zoomScaleNormal="130" workbookViewId="0">
      <pane xSplit="4" topLeftCell="N1" activePane="topRight" state="frozen"/>
      <selection activeCell="A5" sqref="A5"/>
      <selection pane="topRight" activeCell="O88" sqref="O88"/>
    </sheetView>
  </sheetViews>
  <sheetFormatPr baseColWidth="10" defaultRowHeight="16" x14ac:dyDescent="0.2"/>
  <cols>
    <col min="1" max="1" width="16" customWidth="1"/>
    <col min="3" max="3" width="22" customWidth="1"/>
    <col min="4" max="4" width="32.83203125" customWidth="1"/>
    <col min="5" max="7" width="21.83203125" customWidth="1"/>
    <col min="9" max="9" width="15.5" customWidth="1"/>
    <col min="14" max="14" width="43.33203125" customWidth="1"/>
    <col min="15" max="15" width="32.3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466</v>
      </c>
      <c r="B2">
        <f>IF(A2="2012R",1,"")</f>
        <v>1</v>
      </c>
      <c r="C2" t="s">
        <v>15</v>
      </c>
      <c r="D2" t="s">
        <v>16</v>
      </c>
      <c r="E2" t="s">
        <v>44</v>
      </c>
      <c r="F2" t="s">
        <v>45</v>
      </c>
      <c r="G2" t="s">
        <v>29</v>
      </c>
      <c r="H2" s="2">
        <v>40965</v>
      </c>
      <c r="I2" t="s">
        <v>30</v>
      </c>
      <c r="J2" t="s">
        <v>31</v>
      </c>
      <c r="L2">
        <v>1</v>
      </c>
      <c r="M2">
        <v>0</v>
      </c>
      <c r="O2" t="s">
        <v>467</v>
      </c>
    </row>
    <row r="3" spans="1:15" x14ac:dyDescent="0.2">
      <c r="A3" t="s">
        <v>466</v>
      </c>
      <c r="B3">
        <f t="shared" ref="B3:B66" si="0">IF(A3="2012R",1,"")</f>
        <v>1</v>
      </c>
      <c r="C3" t="s">
        <v>15</v>
      </c>
      <c r="D3" t="s">
        <v>17</v>
      </c>
      <c r="E3" t="s">
        <v>46</v>
      </c>
      <c r="F3" t="s">
        <v>47</v>
      </c>
      <c r="G3" t="s">
        <v>29</v>
      </c>
      <c r="H3" s="2">
        <v>40714</v>
      </c>
      <c r="I3" t="s">
        <v>30</v>
      </c>
      <c r="J3" t="s">
        <v>32</v>
      </c>
      <c r="L3">
        <v>1</v>
      </c>
      <c r="M3">
        <v>0</v>
      </c>
      <c r="O3" t="s">
        <v>468</v>
      </c>
    </row>
    <row r="4" spans="1:15" x14ac:dyDescent="0.2">
      <c r="A4" t="s">
        <v>466</v>
      </c>
      <c r="B4">
        <f t="shared" si="0"/>
        <v>1</v>
      </c>
      <c r="C4" t="s">
        <v>15</v>
      </c>
      <c r="D4" t="s">
        <v>18</v>
      </c>
      <c r="E4" t="s">
        <v>48</v>
      </c>
      <c r="F4" t="s">
        <v>49</v>
      </c>
      <c r="G4" t="s">
        <v>29</v>
      </c>
      <c r="H4" s="2">
        <v>40955</v>
      </c>
      <c r="I4" t="s">
        <v>30</v>
      </c>
      <c r="J4" t="s">
        <v>33</v>
      </c>
      <c r="L4">
        <v>1</v>
      </c>
      <c r="M4">
        <v>0</v>
      </c>
      <c r="O4" t="s">
        <v>469</v>
      </c>
    </row>
    <row r="5" spans="1:15" x14ac:dyDescent="0.2">
      <c r="A5" t="s">
        <v>466</v>
      </c>
      <c r="B5">
        <f t="shared" si="0"/>
        <v>1</v>
      </c>
      <c r="C5" t="s">
        <v>15</v>
      </c>
      <c r="D5" t="s">
        <v>19</v>
      </c>
      <c r="E5" t="s">
        <v>50</v>
      </c>
      <c r="F5" t="s">
        <v>51</v>
      </c>
      <c r="G5" t="s">
        <v>29</v>
      </c>
      <c r="H5" s="2">
        <v>40976</v>
      </c>
      <c r="I5" t="s">
        <v>30</v>
      </c>
      <c r="J5" t="s">
        <v>34</v>
      </c>
      <c r="L5">
        <v>1</v>
      </c>
      <c r="M5">
        <v>0</v>
      </c>
      <c r="O5" t="s">
        <v>470</v>
      </c>
    </row>
    <row r="6" spans="1:15" x14ac:dyDescent="0.2">
      <c r="A6" t="s">
        <v>466</v>
      </c>
      <c r="B6">
        <f t="shared" si="0"/>
        <v>1</v>
      </c>
      <c r="C6" t="s">
        <v>15</v>
      </c>
      <c r="D6" t="s">
        <v>20</v>
      </c>
      <c r="E6" t="s">
        <v>52</v>
      </c>
      <c r="F6" t="s">
        <v>53</v>
      </c>
      <c r="G6" t="s">
        <v>29</v>
      </c>
      <c r="H6" s="2">
        <v>40704</v>
      </c>
      <c r="I6" t="s">
        <v>30</v>
      </c>
      <c r="J6" t="s">
        <v>35</v>
      </c>
      <c r="L6">
        <v>1</v>
      </c>
      <c r="M6">
        <v>0</v>
      </c>
      <c r="O6" t="s">
        <v>471</v>
      </c>
    </row>
    <row r="7" spans="1:15" x14ac:dyDescent="0.2">
      <c r="A7" t="s">
        <v>466</v>
      </c>
      <c r="B7">
        <f t="shared" si="0"/>
        <v>1</v>
      </c>
      <c r="C7" t="s">
        <v>15</v>
      </c>
      <c r="D7" t="s">
        <v>21</v>
      </c>
      <c r="E7" t="s">
        <v>54</v>
      </c>
      <c r="F7" t="s">
        <v>55</v>
      </c>
      <c r="G7" t="s">
        <v>29</v>
      </c>
      <c r="H7" s="2">
        <v>40827</v>
      </c>
      <c r="I7" t="s">
        <v>30</v>
      </c>
      <c r="J7" t="s">
        <v>36</v>
      </c>
      <c r="L7">
        <v>1</v>
      </c>
      <c r="M7">
        <v>0</v>
      </c>
    </row>
    <row r="8" spans="1:15" x14ac:dyDescent="0.2">
      <c r="A8" t="s">
        <v>466</v>
      </c>
      <c r="B8">
        <f t="shared" si="0"/>
        <v>1</v>
      </c>
      <c r="C8" t="s">
        <v>15</v>
      </c>
      <c r="D8" t="s">
        <v>22</v>
      </c>
      <c r="E8" t="s">
        <v>56</v>
      </c>
      <c r="F8" t="s">
        <v>57</v>
      </c>
      <c r="G8" t="s">
        <v>29</v>
      </c>
      <c r="H8" s="2">
        <v>40893</v>
      </c>
      <c r="I8" t="s">
        <v>30</v>
      </c>
      <c r="J8" t="s">
        <v>37</v>
      </c>
      <c r="L8">
        <v>1</v>
      </c>
      <c r="M8">
        <v>0</v>
      </c>
      <c r="O8" t="s">
        <v>472</v>
      </c>
    </row>
    <row r="9" spans="1:15" x14ac:dyDescent="0.2">
      <c r="A9" t="s">
        <v>466</v>
      </c>
      <c r="B9">
        <f t="shared" si="0"/>
        <v>1</v>
      </c>
      <c r="C9" t="s">
        <v>15</v>
      </c>
      <c r="D9" t="s">
        <v>23</v>
      </c>
      <c r="E9" t="s">
        <v>58</v>
      </c>
      <c r="F9" t="s">
        <v>59</v>
      </c>
      <c r="G9" t="s">
        <v>29</v>
      </c>
      <c r="H9" s="2">
        <v>40919</v>
      </c>
      <c r="I9" t="s">
        <v>30</v>
      </c>
      <c r="J9" t="s">
        <v>38</v>
      </c>
      <c r="L9">
        <v>1</v>
      </c>
      <c r="M9">
        <v>0</v>
      </c>
      <c r="O9" t="s">
        <v>473</v>
      </c>
    </row>
    <row r="10" spans="1:15" x14ac:dyDescent="0.2">
      <c r="A10" t="s">
        <v>466</v>
      </c>
      <c r="B10">
        <f t="shared" si="0"/>
        <v>1</v>
      </c>
      <c r="C10" t="s">
        <v>15</v>
      </c>
      <c r="D10" t="s">
        <v>24</v>
      </c>
      <c r="E10" t="s">
        <v>60</v>
      </c>
      <c r="F10" t="s">
        <v>61</v>
      </c>
      <c r="G10" t="s">
        <v>29</v>
      </c>
      <c r="H10" s="2">
        <v>40928</v>
      </c>
      <c r="I10" t="s">
        <v>30</v>
      </c>
      <c r="J10" t="s">
        <v>39</v>
      </c>
      <c r="L10">
        <v>1</v>
      </c>
      <c r="M10">
        <v>0</v>
      </c>
      <c r="O10" t="s">
        <v>474</v>
      </c>
    </row>
    <row r="11" spans="1:15" x14ac:dyDescent="0.2">
      <c r="A11" t="s">
        <v>466</v>
      </c>
      <c r="B11">
        <f t="shared" si="0"/>
        <v>1</v>
      </c>
      <c r="C11" t="s">
        <v>15</v>
      </c>
      <c r="D11" t="s">
        <v>25</v>
      </c>
      <c r="E11" t="s">
        <v>62</v>
      </c>
      <c r="F11" t="s">
        <v>63</v>
      </c>
      <c r="G11" t="s">
        <v>29</v>
      </c>
      <c r="H11" s="2">
        <v>40941</v>
      </c>
      <c r="I11" t="s">
        <v>30</v>
      </c>
      <c r="J11" t="s">
        <v>40</v>
      </c>
      <c r="L11">
        <v>1</v>
      </c>
      <c r="M11">
        <v>0</v>
      </c>
      <c r="O11" t="s">
        <v>475</v>
      </c>
    </row>
    <row r="12" spans="1:15" x14ac:dyDescent="0.2">
      <c r="A12" t="s">
        <v>466</v>
      </c>
      <c r="B12">
        <f t="shared" si="0"/>
        <v>1</v>
      </c>
      <c r="C12" t="s">
        <v>15</v>
      </c>
      <c r="D12" t="s">
        <v>26</v>
      </c>
      <c r="E12" t="s">
        <v>64</v>
      </c>
      <c r="F12" t="s">
        <v>65</v>
      </c>
      <c r="G12" t="s">
        <v>29</v>
      </c>
      <c r="H12" s="2">
        <v>40935</v>
      </c>
      <c r="I12" t="s">
        <v>30</v>
      </c>
      <c r="J12" t="s">
        <v>41</v>
      </c>
      <c r="L12">
        <v>1</v>
      </c>
      <c r="M12">
        <v>0</v>
      </c>
      <c r="O12" t="s">
        <v>476</v>
      </c>
    </row>
    <row r="13" spans="1:15" x14ac:dyDescent="0.2">
      <c r="A13" t="s">
        <v>466</v>
      </c>
      <c r="B13">
        <f t="shared" si="0"/>
        <v>1</v>
      </c>
      <c r="C13" t="s">
        <v>15</v>
      </c>
      <c r="D13" t="s">
        <v>27</v>
      </c>
      <c r="E13" t="s">
        <v>66</v>
      </c>
      <c r="F13" t="s">
        <v>67</v>
      </c>
      <c r="G13" t="s">
        <v>29</v>
      </c>
      <c r="H13" s="2">
        <v>40977</v>
      </c>
      <c r="I13" t="s">
        <v>30</v>
      </c>
      <c r="J13" t="s">
        <v>42</v>
      </c>
      <c r="L13">
        <v>1</v>
      </c>
      <c r="M13">
        <v>0</v>
      </c>
    </row>
    <row r="14" spans="1:15" x14ac:dyDescent="0.2">
      <c r="A14" t="s">
        <v>466</v>
      </c>
      <c r="B14">
        <f t="shared" si="0"/>
        <v>1</v>
      </c>
      <c r="C14" t="s">
        <v>15</v>
      </c>
      <c r="D14" t="s">
        <v>28</v>
      </c>
      <c r="E14" t="s">
        <v>68</v>
      </c>
      <c r="F14" t="s">
        <v>69</v>
      </c>
      <c r="G14" t="s">
        <v>29</v>
      </c>
      <c r="H14" s="2">
        <v>40977</v>
      </c>
      <c r="I14" t="s">
        <v>30</v>
      </c>
      <c r="J14" t="s">
        <v>43</v>
      </c>
      <c r="L14">
        <v>1</v>
      </c>
      <c r="M14">
        <v>0</v>
      </c>
    </row>
    <row r="15" spans="1:15" x14ac:dyDescent="0.2">
      <c r="A15" t="s">
        <v>466</v>
      </c>
      <c r="B15">
        <f t="shared" si="0"/>
        <v>1</v>
      </c>
      <c r="C15" t="s">
        <v>15</v>
      </c>
      <c r="D15" t="s">
        <v>70</v>
      </c>
      <c r="E15" t="s">
        <v>104</v>
      </c>
      <c r="F15" t="s">
        <v>105</v>
      </c>
      <c r="G15" t="s">
        <v>89</v>
      </c>
      <c r="H15" s="2">
        <v>40879</v>
      </c>
      <c r="I15" t="s">
        <v>30</v>
      </c>
      <c r="J15" t="s">
        <v>90</v>
      </c>
      <c r="L15">
        <v>1</v>
      </c>
      <c r="M15">
        <v>0</v>
      </c>
      <c r="O15" t="s">
        <v>477</v>
      </c>
    </row>
    <row r="16" spans="1:15" x14ac:dyDescent="0.2">
      <c r="A16" t="s">
        <v>466</v>
      </c>
      <c r="B16">
        <f t="shared" si="0"/>
        <v>1</v>
      </c>
      <c r="C16" t="s">
        <v>15</v>
      </c>
      <c r="D16" t="s">
        <v>71</v>
      </c>
      <c r="E16" t="s">
        <v>106</v>
      </c>
      <c r="F16" t="s">
        <v>107</v>
      </c>
      <c r="G16" t="s">
        <v>89</v>
      </c>
      <c r="H16" s="2">
        <v>40913</v>
      </c>
      <c r="I16" t="s">
        <v>30</v>
      </c>
      <c r="J16" t="s">
        <v>31</v>
      </c>
      <c r="L16">
        <v>1</v>
      </c>
      <c r="M16">
        <v>0</v>
      </c>
      <c r="O16" t="s">
        <v>478</v>
      </c>
    </row>
    <row r="17" spans="1:15" x14ac:dyDescent="0.2">
      <c r="A17" t="s">
        <v>466</v>
      </c>
      <c r="B17">
        <f t="shared" si="0"/>
        <v>1</v>
      </c>
      <c r="C17" t="s">
        <v>15</v>
      </c>
      <c r="D17" t="s">
        <v>72</v>
      </c>
      <c r="E17" t="s">
        <v>108</v>
      </c>
      <c r="F17" t="s">
        <v>109</v>
      </c>
      <c r="G17" t="s">
        <v>89</v>
      </c>
      <c r="H17" s="2">
        <v>40714</v>
      </c>
      <c r="I17" t="s">
        <v>30</v>
      </c>
      <c r="J17" t="s">
        <v>32</v>
      </c>
      <c r="L17">
        <v>1</v>
      </c>
      <c r="M17">
        <v>0</v>
      </c>
      <c r="O17" t="s">
        <v>479</v>
      </c>
    </row>
    <row r="18" spans="1:15" x14ac:dyDescent="0.2">
      <c r="A18" t="s">
        <v>466</v>
      </c>
      <c r="B18">
        <f t="shared" si="0"/>
        <v>1</v>
      </c>
      <c r="C18" t="s">
        <v>15</v>
      </c>
      <c r="D18" t="s">
        <v>73</v>
      </c>
      <c r="E18" t="s">
        <v>110</v>
      </c>
      <c r="F18" t="s">
        <v>111</v>
      </c>
      <c r="G18" t="s">
        <v>89</v>
      </c>
      <c r="H18" s="2">
        <v>40896</v>
      </c>
      <c r="I18" t="s">
        <v>30</v>
      </c>
      <c r="J18" t="s">
        <v>91</v>
      </c>
      <c r="L18">
        <v>1</v>
      </c>
      <c r="M18">
        <v>0</v>
      </c>
      <c r="O18" t="s">
        <v>480</v>
      </c>
    </row>
    <row r="19" spans="1:15" x14ac:dyDescent="0.2">
      <c r="A19" t="s">
        <v>466</v>
      </c>
      <c r="B19">
        <f t="shared" si="0"/>
        <v>1</v>
      </c>
      <c r="C19" t="s">
        <v>15</v>
      </c>
      <c r="D19" t="s">
        <v>74</v>
      </c>
      <c r="E19" t="s">
        <v>112</v>
      </c>
      <c r="F19" t="s">
        <v>113</v>
      </c>
      <c r="G19" t="s">
        <v>89</v>
      </c>
      <c r="J19" t="s">
        <v>92</v>
      </c>
      <c r="L19">
        <v>1</v>
      </c>
      <c r="M19">
        <v>0</v>
      </c>
    </row>
    <row r="20" spans="1:15" x14ac:dyDescent="0.2">
      <c r="A20" t="s">
        <v>466</v>
      </c>
      <c r="B20">
        <f t="shared" si="0"/>
        <v>1</v>
      </c>
      <c r="C20" t="s">
        <v>15</v>
      </c>
      <c r="D20" t="s">
        <v>75</v>
      </c>
      <c r="E20" t="s">
        <v>114</v>
      </c>
      <c r="F20" t="s">
        <v>115</v>
      </c>
      <c r="G20" t="s">
        <v>89</v>
      </c>
      <c r="H20" s="2">
        <v>40828</v>
      </c>
      <c r="I20" t="s">
        <v>30</v>
      </c>
      <c r="J20" t="s">
        <v>34</v>
      </c>
      <c r="L20">
        <v>1</v>
      </c>
      <c r="M20">
        <v>0</v>
      </c>
      <c r="O20" t="s">
        <v>481</v>
      </c>
    </row>
    <row r="21" spans="1:15" x14ac:dyDescent="0.2">
      <c r="A21" t="s">
        <v>466</v>
      </c>
      <c r="B21">
        <f t="shared" si="0"/>
        <v>1</v>
      </c>
      <c r="C21" t="s">
        <v>15</v>
      </c>
      <c r="D21" t="s">
        <v>76</v>
      </c>
      <c r="E21" t="s">
        <v>116</v>
      </c>
      <c r="F21" t="s">
        <v>117</v>
      </c>
      <c r="G21" t="s">
        <v>89</v>
      </c>
      <c r="H21" s="2">
        <v>40806</v>
      </c>
      <c r="I21" t="s">
        <v>30</v>
      </c>
      <c r="J21" t="s">
        <v>93</v>
      </c>
      <c r="L21">
        <v>1</v>
      </c>
      <c r="M21">
        <v>0</v>
      </c>
      <c r="O21" t="s">
        <v>482</v>
      </c>
    </row>
    <row r="22" spans="1:15" x14ac:dyDescent="0.2">
      <c r="A22" t="s">
        <v>466</v>
      </c>
      <c r="B22">
        <f t="shared" si="0"/>
        <v>1</v>
      </c>
      <c r="C22" t="s">
        <v>15</v>
      </c>
      <c r="D22" t="s">
        <v>77</v>
      </c>
      <c r="E22" t="s">
        <v>118</v>
      </c>
      <c r="F22" t="s">
        <v>119</v>
      </c>
      <c r="G22" t="s">
        <v>89</v>
      </c>
      <c r="H22" s="2">
        <v>40898</v>
      </c>
      <c r="I22" t="s">
        <v>30</v>
      </c>
      <c r="J22" t="s">
        <v>35</v>
      </c>
      <c r="L22">
        <v>1</v>
      </c>
      <c r="M22">
        <v>0</v>
      </c>
      <c r="O22" t="s">
        <v>483</v>
      </c>
    </row>
    <row r="23" spans="1:15" x14ac:dyDescent="0.2">
      <c r="A23" t="s">
        <v>466</v>
      </c>
      <c r="B23">
        <f t="shared" si="0"/>
        <v>1</v>
      </c>
      <c r="C23" t="s">
        <v>15</v>
      </c>
      <c r="D23" t="s">
        <v>78</v>
      </c>
      <c r="E23" t="s">
        <v>120</v>
      </c>
      <c r="F23" t="s">
        <v>121</v>
      </c>
      <c r="G23" t="s">
        <v>89</v>
      </c>
      <c r="H23" s="2">
        <v>40867</v>
      </c>
      <c r="I23" t="s">
        <v>30</v>
      </c>
      <c r="J23" t="s">
        <v>94</v>
      </c>
      <c r="L23">
        <v>1</v>
      </c>
      <c r="M23">
        <v>0</v>
      </c>
      <c r="O23" t="s">
        <v>484</v>
      </c>
    </row>
    <row r="24" spans="1:15" x14ac:dyDescent="0.2">
      <c r="A24" t="s">
        <v>466</v>
      </c>
      <c r="B24">
        <f t="shared" si="0"/>
        <v>1</v>
      </c>
      <c r="C24" t="s">
        <v>15</v>
      </c>
      <c r="D24" t="s">
        <v>79</v>
      </c>
      <c r="E24" t="s">
        <v>122</v>
      </c>
      <c r="F24" t="s">
        <v>123</v>
      </c>
      <c r="G24" t="s">
        <v>89</v>
      </c>
      <c r="H24" s="2">
        <v>40906</v>
      </c>
      <c r="I24" t="s">
        <v>30</v>
      </c>
      <c r="J24" t="s">
        <v>95</v>
      </c>
      <c r="L24">
        <v>1</v>
      </c>
      <c r="M24">
        <v>0</v>
      </c>
      <c r="O24" t="s">
        <v>485</v>
      </c>
    </row>
    <row r="25" spans="1:15" x14ac:dyDescent="0.2">
      <c r="A25" t="s">
        <v>466</v>
      </c>
      <c r="B25">
        <f t="shared" si="0"/>
        <v>1</v>
      </c>
      <c r="C25" t="s">
        <v>15</v>
      </c>
      <c r="D25" t="s">
        <v>80</v>
      </c>
      <c r="E25" t="s">
        <v>106</v>
      </c>
      <c r="F25" t="s">
        <v>124</v>
      </c>
      <c r="G25" t="s">
        <v>89</v>
      </c>
      <c r="H25" s="2">
        <v>40865</v>
      </c>
      <c r="I25" t="s">
        <v>30</v>
      </c>
      <c r="J25" t="s">
        <v>96</v>
      </c>
      <c r="L25">
        <v>1</v>
      </c>
      <c r="M25">
        <v>0</v>
      </c>
      <c r="O25" t="s">
        <v>486</v>
      </c>
    </row>
    <row r="26" spans="1:15" x14ac:dyDescent="0.2">
      <c r="A26" t="s">
        <v>466</v>
      </c>
      <c r="B26">
        <f t="shared" si="0"/>
        <v>1</v>
      </c>
      <c r="C26" t="s">
        <v>15</v>
      </c>
      <c r="D26" t="s">
        <v>81</v>
      </c>
      <c r="E26" t="s">
        <v>125</v>
      </c>
      <c r="F26" t="s">
        <v>126</v>
      </c>
      <c r="G26" t="s">
        <v>89</v>
      </c>
      <c r="H26" s="2">
        <v>40927</v>
      </c>
      <c r="I26" t="s">
        <v>30</v>
      </c>
      <c r="J26" t="s">
        <v>97</v>
      </c>
      <c r="L26">
        <v>1</v>
      </c>
      <c r="M26">
        <v>0</v>
      </c>
      <c r="O26" t="s">
        <v>487</v>
      </c>
    </row>
    <row r="27" spans="1:15" x14ac:dyDescent="0.2">
      <c r="A27" t="s">
        <v>466</v>
      </c>
      <c r="B27">
        <f t="shared" si="0"/>
        <v>1</v>
      </c>
      <c r="C27" t="s">
        <v>15</v>
      </c>
      <c r="D27" t="s">
        <v>82</v>
      </c>
      <c r="E27" t="s">
        <v>127</v>
      </c>
      <c r="F27" t="s">
        <v>128</v>
      </c>
      <c r="G27" t="s">
        <v>89</v>
      </c>
      <c r="H27" s="2">
        <v>40972</v>
      </c>
      <c r="I27" t="s">
        <v>30</v>
      </c>
      <c r="J27" t="s">
        <v>98</v>
      </c>
      <c r="L27">
        <v>1</v>
      </c>
      <c r="M27">
        <v>0</v>
      </c>
    </row>
    <row r="28" spans="1:15" x14ac:dyDescent="0.2">
      <c r="A28" t="s">
        <v>466</v>
      </c>
      <c r="B28">
        <f t="shared" si="0"/>
        <v>1</v>
      </c>
      <c r="C28" t="s">
        <v>15</v>
      </c>
      <c r="D28" t="s">
        <v>83</v>
      </c>
      <c r="E28" t="s">
        <v>106</v>
      </c>
      <c r="F28" t="s">
        <v>129</v>
      </c>
      <c r="G28" t="s">
        <v>89</v>
      </c>
      <c r="H28" s="2">
        <v>40870</v>
      </c>
      <c r="I28" t="s">
        <v>30</v>
      </c>
      <c r="J28" t="s">
        <v>99</v>
      </c>
      <c r="L28">
        <v>1</v>
      </c>
      <c r="M28">
        <v>0</v>
      </c>
      <c r="O28" t="s">
        <v>488</v>
      </c>
    </row>
    <row r="29" spans="1:15" x14ac:dyDescent="0.2">
      <c r="A29" t="s">
        <v>466</v>
      </c>
      <c r="B29">
        <f t="shared" si="0"/>
        <v>1</v>
      </c>
      <c r="C29" t="s">
        <v>15</v>
      </c>
      <c r="D29" t="s">
        <v>84</v>
      </c>
      <c r="E29" t="s">
        <v>130</v>
      </c>
      <c r="F29" t="s">
        <v>131</v>
      </c>
      <c r="G29" t="s">
        <v>89</v>
      </c>
      <c r="H29" s="2">
        <v>40963</v>
      </c>
      <c r="I29" t="s">
        <v>30</v>
      </c>
      <c r="J29" t="s">
        <v>38</v>
      </c>
      <c r="L29">
        <v>1</v>
      </c>
      <c r="M29">
        <v>0</v>
      </c>
      <c r="O29" t="s">
        <v>489</v>
      </c>
    </row>
    <row r="30" spans="1:15" x14ac:dyDescent="0.2">
      <c r="A30" t="s">
        <v>466</v>
      </c>
      <c r="B30">
        <f t="shared" si="0"/>
        <v>1</v>
      </c>
      <c r="C30" t="s">
        <v>15</v>
      </c>
      <c r="D30" t="s">
        <v>85</v>
      </c>
      <c r="E30" t="s">
        <v>132</v>
      </c>
      <c r="F30" t="s">
        <v>133</v>
      </c>
      <c r="G30" t="s">
        <v>89</v>
      </c>
      <c r="H30" s="2">
        <v>40730</v>
      </c>
      <c r="I30" t="s">
        <v>30</v>
      </c>
      <c r="J30" t="s">
        <v>40</v>
      </c>
      <c r="L30">
        <v>1</v>
      </c>
      <c r="M30">
        <v>0</v>
      </c>
      <c r="N30" t="s">
        <v>102</v>
      </c>
    </row>
    <row r="31" spans="1:15" x14ac:dyDescent="0.2">
      <c r="A31" t="s">
        <v>466</v>
      </c>
      <c r="B31">
        <f t="shared" si="0"/>
        <v>1</v>
      </c>
      <c r="C31" t="s">
        <v>15</v>
      </c>
      <c r="D31" t="s">
        <v>86</v>
      </c>
      <c r="E31" t="s">
        <v>118</v>
      </c>
      <c r="F31" t="s">
        <v>134</v>
      </c>
      <c r="G31" t="s">
        <v>89</v>
      </c>
      <c r="H31" s="2">
        <v>40994</v>
      </c>
      <c r="I31" t="s">
        <v>30</v>
      </c>
      <c r="J31" t="s">
        <v>40</v>
      </c>
      <c r="L31">
        <v>1</v>
      </c>
      <c r="M31">
        <v>0</v>
      </c>
      <c r="O31" t="s">
        <v>490</v>
      </c>
    </row>
    <row r="32" spans="1:15" x14ac:dyDescent="0.2">
      <c r="A32" t="s">
        <v>466</v>
      </c>
      <c r="B32">
        <f t="shared" si="0"/>
        <v>1</v>
      </c>
      <c r="C32" t="s">
        <v>15</v>
      </c>
      <c r="D32" t="s">
        <v>87</v>
      </c>
      <c r="E32" t="s">
        <v>135</v>
      </c>
      <c r="F32" t="s">
        <v>136</v>
      </c>
      <c r="G32" t="s">
        <v>89</v>
      </c>
      <c r="H32" s="2">
        <v>41000</v>
      </c>
      <c r="I32" t="s">
        <v>30</v>
      </c>
      <c r="J32" t="s">
        <v>100</v>
      </c>
      <c r="L32">
        <v>1</v>
      </c>
      <c r="M32">
        <v>0</v>
      </c>
      <c r="O32" t="s">
        <v>491</v>
      </c>
    </row>
    <row r="33" spans="1:15" x14ac:dyDescent="0.2">
      <c r="A33" t="s">
        <v>466</v>
      </c>
      <c r="B33">
        <f t="shared" si="0"/>
        <v>1</v>
      </c>
      <c r="C33" t="s">
        <v>15</v>
      </c>
      <c r="D33" t="s">
        <v>88</v>
      </c>
      <c r="E33" t="s">
        <v>137</v>
      </c>
      <c r="F33" t="s">
        <v>138</v>
      </c>
      <c r="G33" t="s">
        <v>89</v>
      </c>
      <c r="H33" s="2">
        <v>40996</v>
      </c>
      <c r="I33" t="s">
        <v>30</v>
      </c>
      <c r="J33" t="s">
        <v>101</v>
      </c>
      <c r="L33">
        <v>1</v>
      </c>
      <c r="M33">
        <v>0</v>
      </c>
      <c r="N33" t="s">
        <v>103</v>
      </c>
      <c r="O33" t="s">
        <v>492</v>
      </c>
    </row>
    <row r="34" spans="1:15" x14ac:dyDescent="0.2">
      <c r="A34" t="s">
        <v>466</v>
      </c>
      <c r="B34">
        <f t="shared" si="0"/>
        <v>1</v>
      </c>
      <c r="C34" t="s">
        <v>15</v>
      </c>
      <c r="D34" t="s">
        <v>139</v>
      </c>
      <c r="E34" t="s">
        <v>118</v>
      </c>
      <c r="F34" t="s">
        <v>231</v>
      </c>
      <c r="G34" t="s">
        <v>354</v>
      </c>
      <c r="H34" s="2">
        <v>40785</v>
      </c>
      <c r="I34" t="s">
        <v>30</v>
      </c>
      <c r="J34" t="s">
        <v>216</v>
      </c>
      <c r="K34">
        <v>3</v>
      </c>
      <c r="L34">
        <v>1</v>
      </c>
      <c r="M34">
        <v>0</v>
      </c>
    </row>
    <row r="35" spans="1:15" x14ac:dyDescent="0.2">
      <c r="A35" t="s">
        <v>466</v>
      </c>
      <c r="B35">
        <f t="shared" si="0"/>
        <v>1</v>
      </c>
      <c r="C35" t="s">
        <v>15</v>
      </c>
      <c r="D35" t="s">
        <v>140</v>
      </c>
      <c r="E35" t="s">
        <v>232</v>
      </c>
      <c r="F35" t="s">
        <v>233</v>
      </c>
      <c r="G35" t="s">
        <v>354</v>
      </c>
      <c r="H35" s="2">
        <v>40805</v>
      </c>
      <c r="I35" t="s">
        <v>30</v>
      </c>
      <c r="J35" t="s">
        <v>31</v>
      </c>
      <c r="K35">
        <v>6</v>
      </c>
      <c r="L35">
        <v>1</v>
      </c>
      <c r="M35">
        <v>0</v>
      </c>
      <c r="O35" t="s">
        <v>493</v>
      </c>
    </row>
    <row r="36" spans="1:15" x14ac:dyDescent="0.2">
      <c r="A36" t="s">
        <v>466</v>
      </c>
      <c r="B36">
        <f t="shared" si="0"/>
        <v>1</v>
      </c>
      <c r="C36" t="s">
        <v>15</v>
      </c>
      <c r="D36" t="s">
        <v>141</v>
      </c>
      <c r="E36" t="s">
        <v>234</v>
      </c>
      <c r="F36" t="s">
        <v>235</v>
      </c>
      <c r="G36" t="s">
        <v>354</v>
      </c>
      <c r="H36" s="2">
        <v>40821</v>
      </c>
      <c r="I36" t="s">
        <v>30</v>
      </c>
      <c r="J36" t="s">
        <v>217</v>
      </c>
      <c r="K36">
        <v>2</v>
      </c>
      <c r="L36">
        <v>1</v>
      </c>
      <c r="M36">
        <v>0</v>
      </c>
      <c r="O36" t="s">
        <v>495</v>
      </c>
    </row>
    <row r="37" spans="1:15" x14ac:dyDescent="0.2">
      <c r="A37" t="s">
        <v>466</v>
      </c>
      <c r="B37">
        <f t="shared" si="0"/>
        <v>1</v>
      </c>
      <c r="C37" t="s">
        <v>15</v>
      </c>
      <c r="D37" t="s">
        <v>142</v>
      </c>
      <c r="E37" t="s">
        <v>236</v>
      </c>
      <c r="F37" t="s">
        <v>237</v>
      </c>
      <c r="G37" t="s">
        <v>354</v>
      </c>
      <c r="H37" s="2">
        <v>40927</v>
      </c>
      <c r="I37" t="s">
        <v>30</v>
      </c>
      <c r="J37" t="s">
        <v>217</v>
      </c>
      <c r="K37">
        <v>3</v>
      </c>
      <c r="L37">
        <v>1</v>
      </c>
      <c r="M37">
        <v>0</v>
      </c>
      <c r="O37" t="s">
        <v>496</v>
      </c>
    </row>
    <row r="38" spans="1:15" x14ac:dyDescent="0.2">
      <c r="A38" t="s">
        <v>466</v>
      </c>
      <c r="B38">
        <f t="shared" si="0"/>
        <v>1</v>
      </c>
      <c r="C38" t="s">
        <v>15</v>
      </c>
      <c r="D38" t="s">
        <v>143</v>
      </c>
      <c r="E38" t="s">
        <v>238</v>
      </c>
      <c r="F38" t="s">
        <v>239</v>
      </c>
      <c r="G38" t="s">
        <v>354</v>
      </c>
      <c r="H38" s="2">
        <v>40807</v>
      </c>
      <c r="I38" t="s">
        <v>30</v>
      </c>
      <c r="J38" t="s">
        <v>218</v>
      </c>
      <c r="K38">
        <v>2</v>
      </c>
      <c r="L38">
        <v>1</v>
      </c>
      <c r="M38">
        <v>0</v>
      </c>
      <c r="O38" t="s">
        <v>497</v>
      </c>
    </row>
    <row r="39" spans="1:15" x14ac:dyDescent="0.2">
      <c r="A39" t="s">
        <v>466</v>
      </c>
      <c r="B39">
        <f t="shared" si="0"/>
        <v>1</v>
      </c>
      <c r="C39" t="s">
        <v>15</v>
      </c>
      <c r="D39" t="s">
        <v>144</v>
      </c>
      <c r="E39" t="s">
        <v>232</v>
      </c>
      <c r="F39" t="s">
        <v>240</v>
      </c>
      <c r="G39" t="s">
        <v>354</v>
      </c>
      <c r="H39" s="2">
        <v>40995</v>
      </c>
      <c r="I39" t="s">
        <v>30</v>
      </c>
      <c r="J39" t="s">
        <v>218</v>
      </c>
      <c r="K39">
        <v>19</v>
      </c>
      <c r="L39">
        <v>1</v>
      </c>
      <c r="M39">
        <v>0</v>
      </c>
      <c r="O39" t="s">
        <v>498</v>
      </c>
    </row>
    <row r="40" spans="1:15" x14ac:dyDescent="0.2">
      <c r="A40" t="s">
        <v>466</v>
      </c>
      <c r="B40">
        <f t="shared" si="0"/>
        <v>1</v>
      </c>
      <c r="C40" t="s">
        <v>15</v>
      </c>
      <c r="D40" t="s">
        <v>145</v>
      </c>
      <c r="E40" t="s">
        <v>241</v>
      </c>
      <c r="F40" t="s">
        <v>242</v>
      </c>
      <c r="G40" t="s">
        <v>354</v>
      </c>
      <c r="H40" s="2">
        <v>40994</v>
      </c>
      <c r="I40" t="s">
        <v>30</v>
      </c>
      <c r="J40" t="s">
        <v>218</v>
      </c>
      <c r="K40">
        <v>22</v>
      </c>
      <c r="L40">
        <v>1</v>
      </c>
      <c r="M40">
        <v>0</v>
      </c>
      <c r="O40" t="s">
        <v>499</v>
      </c>
    </row>
    <row r="41" spans="1:15" x14ac:dyDescent="0.2">
      <c r="A41" t="s">
        <v>466</v>
      </c>
      <c r="B41">
        <f t="shared" si="0"/>
        <v>1</v>
      </c>
      <c r="C41" t="s">
        <v>15</v>
      </c>
      <c r="D41" t="s">
        <v>146</v>
      </c>
      <c r="E41" t="s">
        <v>243</v>
      </c>
      <c r="F41" t="s">
        <v>244</v>
      </c>
      <c r="G41" t="s">
        <v>354</v>
      </c>
      <c r="H41" s="2">
        <v>40717</v>
      </c>
      <c r="I41" t="s">
        <v>30</v>
      </c>
      <c r="J41" t="s">
        <v>218</v>
      </c>
      <c r="K41">
        <v>25</v>
      </c>
      <c r="L41">
        <v>1</v>
      </c>
      <c r="M41">
        <v>0</v>
      </c>
    </row>
    <row r="42" spans="1:15" x14ac:dyDescent="0.2">
      <c r="A42" t="s">
        <v>466</v>
      </c>
      <c r="B42">
        <f t="shared" si="0"/>
        <v>1</v>
      </c>
      <c r="C42" t="s">
        <v>15</v>
      </c>
      <c r="D42" t="s">
        <v>147</v>
      </c>
      <c r="E42" t="s">
        <v>245</v>
      </c>
      <c r="F42" t="s">
        <v>246</v>
      </c>
      <c r="G42" t="s">
        <v>354</v>
      </c>
      <c r="H42" s="2">
        <v>40883</v>
      </c>
      <c r="I42" t="s">
        <v>30</v>
      </c>
      <c r="J42" t="s">
        <v>218</v>
      </c>
      <c r="K42">
        <v>41</v>
      </c>
      <c r="L42">
        <v>1</v>
      </c>
      <c r="M42">
        <v>0</v>
      </c>
      <c r="O42" t="s">
        <v>500</v>
      </c>
    </row>
    <row r="43" spans="1:15" x14ac:dyDescent="0.2">
      <c r="A43" t="s">
        <v>466</v>
      </c>
      <c r="B43">
        <f t="shared" si="0"/>
        <v>1</v>
      </c>
      <c r="C43" t="s">
        <v>15</v>
      </c>
      <c r="D43" t="s">
        <v>148</v>
      </c>
      <c r="E43" t="s">
        <v>247</v>
      </c>
      <c r="F43" t="s">
        <v>248</v>
      </c>
      <c r="G43" t="s">
        <v>354</v>
      </c>
      <c r="H43" s="2">
        <v>40883</v>
      </c>
      <c r="I43" t="s">
        <v>30</v>
      </c>
      <c r="J43" t="s">
        <v>218</v>
      </c>
      <c r="K43">
        <v>44</v>
      </c>
      <c r="L43">
        <v>1</v>
      </c>
      <c r="M43">
        <v>0</v>
      </c>
      <c r="O43" t="s">
        <v>500</v>
      </c>
    </row>
    <row r="44" spans="1:15" x14ac:dyDescent="0.2">
      <c r="A44" t="s">
        <v>466</v>
      </c>
      <c r="B44">
        <f t="shared" si="0"/>
        <v>1</v>
      </c>
      <c r="C44" t="s">
        <v>15</v>
      </c>
      <c r="D44" t="s">
        <v>149</v>
      </c>
      <c r="E44" t="s">
        <v>249</v>
      </c>
      <c r="F44" t="s">
        <v>250</v>
      </c>
      <c r="G44" t="s">
        <v>354</v>
      </c>
      <c r="H44" s="2">
        <v>40717</v>
      </c>
      <c r="I44" t="s">
        <v>30</v>
      </c>
      <c r="J44" t="s">
        <v>218</v>
      </c>
      <c r="K44">
        <v>45</v>
      </c>
      <c r="L44">
        <v>1</v>
      </c>
      <c r="M44">
        <v>0</v>
      </c>
    </row>
    <row r="45" spans="1:15" x14ac:dyDescent="0.2">
      <c r="A45" t="s">
        <v>466</v>
      </c>
      <c r="B45">
        <f t="shared" si="0"/>
        <v>1</v>
      </c>
      <c r="C45" t="s">
        <v>15</v>
      </c>
      <c r="D45" t="s">
        <v>150</v>
      </c>
      <c r="E45" t="s">
        <v>251</v>
      </c>
      <c r="F45" t="s">
        <v>252</v>
      </c>
      <c r="G45" t="s">
        <v>354</v>
      </c>
      <c r="H45" s="2">
        <v>40889</v>
      </c>
      <c r="I45" t="s">
        <v>30</v>
      </c>
      <c r="J45" t="s">
        <v>218</v>
      </c>
      <c r="K45">
        <v>46</v>
      </c>
      <c r="L45">
        <v>1</v>
      </c>
      <c r="M45">
        <v>0</v>
      </c>
      <c r="O45" t="s">
        <v>501</v>
      </c>
    </row>
    <row r="46" spans="1:15" x14ac:dyDescent="0.2">
      <c r="A46" t="s">
        <v>466</v>
      </c>
      <c r="B46">
        <f t="shared" si="0"/>
        <v>1</v>
      </c>
      <c r="C46" t="s">
        <v>15</v>
      </c>
      <c r="D46" t="s">
        <v>151</v>
      </c>
      <c r="E46" t="s">
        <v>106</v>
      </c>
      <c r="F46" t="s">
        <v>253</v>
      </c>
      <c r="G46" t="s">
        <v>354</v>
      </c>
      <c r="H46" s="2">
        <v>40744</v>
      </c>
      <c r="I46" t="s">
        <v>30</v>
      </c>
      <c r="J46" t="s">
        <v>218</v>
      </c>
      <c r="K46">
        <v>48</v>
      </c>
      <c r="L46">
        <v>1</v>
      </c>
      <c r="M46">
        <v>0</v>
      </c>
    </row>
    <row r="47" spans="1:15" x14ac:dyDescent="0.2">
      <c r="A47" t="s">
        <v>466</v>
      </c>
      <c r="B47">
        <f t="shared" si="0"/>
        <v>1</v>
      </c>
      <c r="C47" t="s">
        <v>15</v>
      </c>
      <c r="D47" t="s">
        <v>152</v>
      </c>
      <c r="E47" t="s">
        <v>254</v>
      </c>
      <c r="F47" t="s">
        <v>255</v>
      </c>
      <c r="G47" t="s">
        <v>354</v>
      </c>
      <c r="H47" s="2">
        <v>40808</v>
      </c>
      <c r="I47" t="s">
        <v>30</v>
      </c>
      <c r="J47" t="s">
        <v>218</v>
      </c>
      <c r="K47">
        <v>49</v>
      </c>
      <c r="L47">
        <v>1</v>
      </c>
      <c r="M47">
        <v>0</v>
      </c>
      <c r="O47" t="s">
        <v>502</v>
      </c>
    </row>
    <row r="48" spans="1:15" x14ac:dyDescent="0.2">
      <c r="A48" t="s">
        <v>466</v>
      </c>
      <c r="B48">
        <f t="shared" si="0"/>
        <v>1</v>
      </c>
      <c r="C48" t="s">
        <v>15</v>
      </c>
      <c r="D48" t="s">
        <v>153</v>
      </c>
      <c r="E48" t="s">
        <v>256</v>
      </c>
      <c r="F48" t="s">
        <v>257</v>
      </c>
      <c r="G48" t="s">
        <v>354</v>
      </c>
      <c r="H48" s="2">
        <v>40883</v>
      </c>
      <c r="I48" t="s">
        <v>30</v>
      </c>
      <c r="J48" t="s">
        <v>218</v>
      </c>
      <c r="K48">
        <v>50</v>
      </c>
      <c r="L48">
        <v>1</v>
      </c>
      <c r="M48">
        <v>0</v>
      </c>
      <c r="O48" t="s">
        <v>500</v>
      </c>
    </row>
    <row r="49" spans="1:15" x14ac:dyDescent="0.2">
      <c r="A49" t="s">
        <v>466</v>
      </c>
      <c r="B49">
        <f t="shared" si="0"/>
        <v>1</v>
      </c>
      <c r="C49" t="s">
        <v>15</v>
      </c>
      <c r="D49" t="s">
        <v>154</v>
      </c>
      <c r="E49" t="s">
        <v>232</v>
      </c>
      <c r="F49" t="s">
        <v>258</v>
      </c>
      <c r="G49" t="s">
        <v>354</v>
      </c>
      <c r="H49" s="2">
        <v>40844</v>
      </c>
      <c r="I49" t="s">
        <v>30</v>
      </c>
      <c r="J49" t="s">
        <v>101</v>
      </c>
      <c r="K49">
        <v>1</v>
      </c>
      <c r="L49">
        <v>1</v>
      </c>
      <c r="M49">
        <v>0</v>
      </c>
      <c r="O49" t="s">
        <v>503</v>
      </c>
    </row>
    <row r="50" spans="1:15" x14ac:dyDescent="0.2">
      <c r="A50" t="s">
        <v>466</v>
      </c>
      <c r="B50">
        <f t="shared" si="0"/>
        <v>1</v>
      </c>
      <c r="C50" t="s">
        <v>15</v>
      </c>
      <c r="D50" t="s">
        <v>155</v>
      </c>
      <c r="E50" t="s">
        <v>259</v>
      </c>
      <c r="F50" t="s">
        <v>260</v>
      </c>
      <c r="G50" t="s">
        <v>354</v>
      </c>
      <c r="H50" s="2">
        <v>40710</v>
      </c>
      <c r="I50" t="s">
        <v>30</v>
      </c>
      <c r="J50" t="s">
        <v>101</v>
      </c>
      <c r="K50">
        <v>2</v>
      </c>
      <c r="L50">
        <v>1</v>
      </c>
      <c r="M50">
        <v>0</v>
      </c>
    </row>
    <row r="51" spans="1:15" x14ac:dyDescent="0.2">
      <c r="A51" t="s">
        <v>466</v>
      </c>
      <c r="B51">
        <f t="shared" si="0"/>
        <v>1</v>
      </c>
      <c r="C51" t="s">
        <v>15</v>
      </c>
      <c r="D51" t="s">
        <v>156</v>
      </c>
      <c r="E51" t="s">
        <v>106</v>
      </c>
      <c r="F51" t="s">
        <v>261</v>
      </c>
      <c r="G51" t="s">
        <v>354</v>
      </c>
      <c r="H51" s="2">
        <v>40924</v>
      </c>
      <c r="I51" t="s">
        <v>30</v>
      </c>
      <c r="J51" t="s">
        <v>101</v>
      </c>
      <c r="K51">
        <v>7</v>
      </c>
      <c r="L51">
        <v>1</v>
      </c>
      <c r="M51">
        <v>0</v>
      </c>
      <c r="O51" t="s">
        <v>494</v>
      </c>
    </row>
    <row r="52" spans="1:15" x14ac:dyDescent="0.2">
      <c r="A52" t="s">
        <v>466</v>
      </c>
      <c r="B52">
        <f t="shared" si="0"/>
        <v>1</v>
      </c>
      <c r="C52" t="s">
        <v>15</v>
      </c>
      <c r="D52" t="s">
        <v>157</v>
      </c>
      <c r="E52" t="s">
        <v>262</v>
      </c>
      <c r="F52" t="s">
        <v>263</v>
      </c>
      <c r="G52" t="s">
        <v>354</v>
      </c>
      <c r="H52" s="2">
        <v>40647</v>
      </c>
      <c r="I52" t="s">
        <v>30</v>
      </c>
      <c r="J52" t="s">
        <v>101</v>
      </c>
      <c r="K52">
        <v>14</v>
      </c>
      <c r="L52">
        <v>1</v>
      </c>
      <c r="M52">
        <v>0</v>
      </c>
      <c r="N52" t="s">
        <v>230</v>
      </c>
    </row>
    <row r="53" spans="1:15" x14ac:dyDescent="0.2">
      <c r="A53" t="s">
        <v>466</v>
      </c>
      <c r="B53">
        <f t="shared" si="0"/>
        <v>1</v>
      </c>
      <c r="C53" t="s">
        <v>15</v>
      </c>
      <c r="D53" t="s">
        <v>158</v>
      </c>
      <c r="E53" t="s">
        <v>127</v>
      </c>
      <c r="F53" t="s">
        <v>264</v>
      </c>
      <c r="G53" t="s">
        <v>354</v>
      </c>
      <c r="H53" s="2">
        <v>40710</v>
      </c>
      <c r="I53" t="s">
        <v>30</v>
      </c>
      <c r="J53" t="s">
        <v>101</v>
      </c>
      <c r="K53">
        <v>16</v>
      </c>
      <c r="L53">
        <v>1</v>
      </c>
      <c r="M53">
        <v>0</v>
      </c>
    </row>
    <row r="54" spans="1:15" x14ac:dyDescent="0.2">
      <c r="A54" t="s">
        <v>466</v>
      </c>
      <c r="B54">
        <f t="shared" si="0"/>
        <v>1</v>
      </c>
      <c r="C54" t="s">
        <v>15</v>
      </c>
      <c r="D54" t="s">
        <v>159</v>
      </c>
      <c r="E54" t="s">
        <v>265</v>
      </c>
      <c r="F54" t="s">
        <v>266</v>
      </c>
      <c r="G54" t="s">
        <v>354</v>
      </c>
      <c r="H54" s="2">
        <v>40876</v>
      </c>
      <c r="I54" t="s">
        <v>30</v>
      </c>
      <c r="J54" t="s">
        <v>101</v>
      </c>
      <c r="K54">
        <v>18</v>
      </c>
      <c r="L54">
        <v>1</v>
      </c>
      <c r="M54">
        <v>0</v>
      </c>
      <c r="O54" t="s">
        <v>504</v>
      </c>
    </row>
    <row r="55" spans="1:15" x14ac:dyDescent="0.2">
      <c r="A55" t="s">
        <v>466</v>
      </c>
      <c r="B55">
        <f t="shared" si="0"/>
        <v>1</v>
      </c>
      <c r="C55" t="s">
        <v>15</v>
      </c>
      <c r="D55" t="s">
        <v>160</v>
      </c>
      <c r="E55" t="s">
        <v>267</v>
      </c>
      <c r="F55" t="s">
        <v>268</v>
      </c>
      <c r="G55" t="s">
        <v>354</v>
      </c>
      <c r="H55" s="2">
        <v>40876</v>
      </c>
      <c r="I55" t="s">
        <v>30</v>
      </c>
      <c r="J55" t="s">
        <v>101</v>
      </c>
      <c r="K55">
        <v>21</v>
      </c>
      <c r="L55">
        <v>1</v>
      </c>
      <c r="M55">
        <v>0</v>
      </c>
      <c r="O55" t="s">
        <v>504</v>
      </c>
    </row>
    <row r="56" spans="1:15" x14ac:dyDescent="0.2">
      <c r="A56" t="s">
        <v>466</v>
      </c>
      <c r="B56">
        <f t="shared" si="0"/>
        <v>1</v>
      </c>
      <c r="C56" t="s">
        <v>15</v>
      </c>
      <c r="D56" t="s">
        <v>161</v>
      </c>
      <c r="E56" t="s">
        <v>269</v>
      </c>
      <c r="F56" t="s">
        <v>270</v>
      </c>
      <c r="G56" t="s">
        <v>354</v>
      </c>
      <c r="H56" s="2">
        <v>40926</v>
      </c>
      <c r="I56" t="s">
        <v>30</v>
      </c>
      <c r="J56" t="s">
        <v>101</v>
      </c>
      <c r="K56">
        <v>24</v>
      </c>
      <c r="L56">
        <v>1</v>
      </c>
      <c r="M56">
        <v>0</v>
      </c>
      <c r="O56" t="s">
        <v>505</v>
      </c>
    </row>
    <row r="57" spans="1:15" x14ac:dyDescent="0.2">
      <c r="A57" t="s">
        <v>466</v>
      </c>
      <c r="B57">
        <f t="shared" si="0"/>
        <v>1</v>
      </c>
      <c r="C57" t="s">
        <v>15</v>
      </c>
      <c r="D57" t="s">
        <v>162</v>
      </c>
      <c r="E57" t="s">
        <v>118</v>
      </c>
      <c r="F57" t="s">
        <v>271</v>
      </c>
      <c r="G57" t="s">
        <v>354</v>
      </c>
      <c r="H57" s="2">
        <v>40714</v>
      </c>
      <c r="I57" t="s">
        <v>30</v>
      </c>
      <c r="J57" t="s">
        <v>32</v>
      </c>
      <c r="K57">
        <v>1</v>
      </c>
      <c r="L57">
        <v>1</v>
      </c>
      <c r="M57">
        <v>0</v>
      </c>
    </row>
    <row r="58" spans="1:15" x14ac:dyDescent="0.2">
      <c r="A58" t="s">
        <v>466</v>
      </c>
      <c r="B58">
        <f t="shared" si="0"/>
        <v>1</v>
      </c>
      <c r="C58" t="s">
        <v>15</v>
      </c>
      <c r="D58" t="s">
        <v>163</v>
      </c>
      <c r="E58" t="s">
        <v>272</v>
      </c>
      <c r="F58" t="s">
        <v>273</v>
      </c>
      <c r="G58" t="s">
        <v>354</v>
      </c>
      <c r="H58" s="2">
        <v>40861</v>
      </c>
      <c r="I58" t="s">
        <v>30</v>
      </c>
      <c r="J58" t="s">
        <v>91</v>
      </c>
      <c r="K58">
        <v>10</v>
      </c>
      <c r="L58">
        <v>1</v>
      </c>
      <c r="M58">
        <v>0</v>
      </c>
      <c r="O58" t="s">
        <v>506</v>
      </c>
    </row>
    <row r="59" spans="1:15" x14ac:dyDescent="0.2">
      <c r="A59" t="s">
        <v>466</v>
      </c>
      <c r="B59">
        <f t="shared" si="0"/>
        <v>1</v>
      </c>
      <c r="C59" t="s">
        <v>15</v>
      </c>
      <c r="D59" t="s">
        <v>164</v>
      </c>
      <c r="E59" t="s">
        <v>274</v>
      </c>
      <c r="F59" t="s">
        <v>275</v>
      </c>
      <c r="G59" t="s">
        <v>354</v>
      </c>
      <c r="H59" s="2">
        <v>40828</v>
      </c>
      <c r="I59" t="s">
        <v>30</v>
      </c>
      <c r="J59" t="s">
        <v>91</v>
      </c>
      <c r="K59">
        <v>13</v>
      </c>
      <c r="L59">
        <v>1</v>
      </c>
      <c r="M59">
        <v>0</v>
      </c>
      <c r="O59" t="s">
        <v>507</v>
      </c>
    </row>
    <row r="60" spans="1:15" x14ac:dyDescent="0.2">
      <c r="A60" t="s">
        <v>466</v>
      </c>
      <c r="B60">
        <f t="shared" si="0"/>
        <v>1</v>
      </c>
      <c r="C60" t="s">
        <v>15</v>
      </c>
      <c r="D60" t="s">
        <v>165</v>
      </c>
      <c r="E60" t="s">
        <v>276</v>
      </c>
      <c r="F60" t="s">
        <v>277</v>
      </c>
      <c r="G60" t="s">
        <v>354</v>
      </c>
      <c r="H60" s="2">
        <v>40855</v>
      </c>
      <c r="I60" t="s">
        <v>30</v>
      </c>
      <c r="J60" t="s">
        <v>91</v>
      </c>
      <c r="K60">
        <v>18</v>
      </c>
      <c r="L60">
        <v>1</v>
      </c>
      <c r="M60">
        <v>0</v>
      </c>
      <c r="O60" t="s">
        <v>508</v>
      </c>
    </row>
    <row r="61" spans="1:15" x14ac:dyDescent="0.2">
      <c r="A61" t="s">
        <v>466</v>
      </c>
      <c r="B61">
        <f t="shared" si="0"/>
        <v>1</v>
      </c>
      <c r="C61" t="s">
        <v>15</v>
      </c>
      <c r="D61" t="s">
        <v>166</v>
      </c>
      <c r="E61" t="s">
        <v>106</v>
      </c>
      <c r="F61" t="s">
        <v>278</v>
      </c>
      <c r="G61" t="s">
        <v>354</v>
      </c>
      <c r="H61" s="2">
        <v>40986</v>
      </c>
      <c r="I61" t="s">
        <v>30</v>
      </c>
      <c r="J61" t="s">
        <v>91</v>
      </c>
      <c r="K61">
        <v>19</v>
      </c>
      <c r="L61">
        <v>1</v>
      </c>
      <c r="M61">
        <v>0</v>
      </c>
      <c r="O61" t="s">
        <v>509</v>
      </c>
    </row>
    <row r="62" spans="1:15" x14ac:dyDescent="0.2">
      <c r="A62" t="s">
        <v>466</v>
      </c>
      <c r="B62">
        <f t="shared" si="0"/>
        <v>1</v>
      </c>
      <c r="C62" t="s">
        <v>15</v>
      </c>
      <c r="D62" t="s">
        <v>167</v>
      </c>
      <c r="E62" t="s">
        <v>279</v>
      </c>
      <c r="F62" t="s">
        <v>280</v>
      </c>
      <c r="G62" t="s">
        <v>354</v>
      </c>
      <c r="H62" s="2">
        <v>40809</v>
      </c>
      <c r="I62" t="s">
        <v>30</v>
      </c>
      <c r="J62" t="s">
        <v>219</v>
      </c>
      <c r="K62">
        <v>4</v>
      </c>
      <c r="L62">
        <v>1</v>
      </c>
      <c r="M62">
        <v>0</v>
      </c>
      <c r="O62" t="s">
        <v>510</v>
      </c>
    </row>
    <row r="63" spans="1:15" x14ac:dyDescent="0.2">
      <c r="A63" t="s">
        <v>466</v>
      </c>
      <c r="B63">
        <f t="shared" si="0"/>
        <v>1</v>
      </c>
      <c r="C63" t="s">
        <v>15</v>
      </c>
      <c r="D63" t="s">
        <v>168</v>
      </c>
      <c r="E63" t="s">
        <v>66</v>
      </c>
      <c r="F63" t="s">
        <v>281</v>
      </c>
      <c r="G63" t="s">
        <v>354</v>
      </c>
      <c r="H63" s="2">
        <v>40833</v>
      </c>
      <c r="I63" t="s">
        <v>30</v>
      </c>
      <c r="J63" t="s">
        <v>220</v>
      </c>
      <c r="K63">
        <v>1</v>
      </c>
      <c r="L63">
        <v>1</v>
      </c>
      <c r="M63">
        <v>0</v>
      </c>
      <c r="O63" t="s">
        <v>511</v>
      </c>
    </row>
    <row r="64" spans="1:15" x14ac:dyDescent="0.2">
      <c r="A64" t="s">
        <v>466</v>
      </c>
      <c r="B64">
        <f t="shared" si="0"/>
        <v>1</v>
      </c>
      <c r="C64" t="s">
        <v>15</v>
      </c>
      <c r="D64" t="s">
        <v>169</v>
      </c>
      <c r="E64" t="s">
        <v>282</v>
      </c>
      <c r="F64" t="s">
        <v>231</v>
      </c>
      <c r="G64" t="s">
        <v>354</v>
      </c>
      <c r="H64" s="2">
        <v>40833</v>
      </c>
      <c r="I64" t="s">
        <v>30</v>
      </c>
      <c r="J64" t="s">
        <v>220</v>
      </c>
      <c r="K64">
        <v>5</v>
      </c>
      <c r="L64">
        <v>1</v>
      </c>
      <c r="M64">
        <v>0</v>
      </c>
    </row>
    <row r="65" spans="1:15" x14ac:dyDescent="0.2">
      <c r="A65" t="s">
        <v>466</v>
      </c>
      <c r="B65">
        <f t="shared" si="0"/>
        <v>1</v>
      </c>
      <c r="C65" t="s">
        <v>15</v>
      </c>
      <c r="D65" t="s">
        <v>170</v>
      </c>
      <c r="E65" t="s">
        <v>283</v>
      </c>
      <c r="F65" t="s">
        <v>131</v>
      </c>
      <c r="G65" t="s">
        <v>354</v>
      </c>
      <c r="H65" s="2">
        <v>40822</v>
      </c>
      <c r="I65" t="s">
        <v>30</v>
      </c>
      <c r="J65" t="s">
        <v>221</v>
      </c>
      <c r="K65">
        <v>5</v>
      </c>
      <c r="L65">
        <v>1</v>
      </c>
      <c r="M65">
        <v>0</v>
      </c>
      <c r="O65" t="s">
        <v>512</v>
      </c>
    </row>
    <row r="66" spans="1:15" x14ac:dyDescent="0.2">
      <c r="A66" t="s">
        <v>466</v>
      </c>
      <c r="B66">
        <f t="shared" si="0"/>
        <v>1</v>
      </c>
      <c r="C66" t="s">
        <v>15</v>
      </c>
      <c r="D66" t="s">
        <v>171</v>
      </c>
      <c r="E66" t="s">
        <v>284</v>
      </c>
      <c r="F66" t="s">
        <v>285</v>
      </c>
      <c r="G66" t="s">
        <v>354</v>
      </c>
      <c r="H66" s="2">
        <v>40928</v>
      </c>
      <c r="I66" t="s">
        <v>30</v>
      </c>
      <c r="J66" t="s">
        <v>33</v>
      </c>
      <c r="K66">
        <v>1</v>
      </c>
      <c r="L66">
        <v>0</v>
      </c>
      <c r="M66">
        <v>0</v>
      </c>
      <c r="O66" t="s">
        <v>513</v>
      </c>
    </row>
    <row r="67" spans="1:15" x14ac:dyDescent="0.2">
      <c r="A67" t="s">
        <v>466</v>
      </c>
      <c r="B67">
        <f t="shared" ref="B67:B130" si="1">IF(A67="2012R",1,"")</f>
        <v>1</v>
      </c>
      <c r="C67" t="s">
        <v>15</v>
      </c>
      <c r="D67" t="s">
        <v>172</v>
      </c>
      <c r="E67" t="s">
        <v>58</v>
      </c>
      <c r="F67" t="s">
        <v>286</v>
      </c>
      <c r="G67" t="s">
        <v>354</v>
      </c>
      <c r="H67" s="2">
        <v>40917</v>
      </c>
      <c r="I67" t="s">
        <v>30</v>
      </c>
      <c r="J67" t="s">
        <v>33</v>
      </c>
      <c r="K67">
        <v>2</v>
      </c>
      <c r="L67">
        <v>1</v>
      </c>
      <c r="M67">
        <v>0</v>
      </c>
      <c r="O67" t="s">
        <v>514</v>
      </c>
    </row>
    <row r="68" spans="1:15" x14ac:dyDescent="0.2">
      <c r="A68" t="s">
        <v>466</v>
      </c>
      <c r="B68">
        <f t="shared" si="1"/>
        <v>1</v>
      </c>
      <c r="C68" t="s">
        <v>15</v>
      </c>
      <c r="D68" t="s">
        <v>173</v>
      </c>
      <c r="E68" t="s">
        <v>52</v>
      </c>
      <c r="F68" t="s">
        <v>287</v>
      </c>
      <c r="G68" t="s">
        <v>354</v>
      </c>
      <c r="H68" s="2">
        <v>40897</v>
      </c>
      <c r="I68" t="s">
        <v>30</v>
      </c>
      <c r="J68" t="s">
        <v>33</v>
      </c>
      <c r="K68">
        <v>4</v>
      </c>
      <c r="L68">
        <v>1</v>
      </c>
      <c r="M68">
        <v>0</v>
      </c>
    </row>
    <row r="69" spans="1:15" x14ac:dyDescent="0.2">
      <c r="A69" t="s">
        <v>466</v>
      </c>
      <c r="B69">
        <f t="shared" si="1"/>
        <v>1</v>
      </c>
      <c r="C69" t="s">
        <v>15</v>
      </c>
      <c r="D69" t="s">
        <v>174</v>
      </c>
      <c r="E69" t="s">
        <v>288</v>
      </c>
      <c r="F69" t="s">
        <v>289</v>
      </c>
      <c r="G69" t="s">
        <v>354</v>
      </c>
      <c r="H69" s="2">
        <v>40947</v>
      </c>
      <c r="I69" t="s">
        <v>30</v>
      </c>
      <c r="J69" t="s">
        <v>33</v>
      </c>
      <c r="K69">
        <v>6</v>
      </c>
      <c r="L69">
        <v>1</v>
      </c>
      <c r="M69">
        <v>0</v>
      </c>
      <c r="O69" t="s">
        <v>516</v>
      </c>
    </row>
    <row r="70" spans="1:15" x14ac:dyDescent="0.2">
      <c r="A70" t="s">
        <v>466</v>
      </c>
      <c r="B70">
        <f t="shared" si="1"/>
        <v>1</v>
      </c>
      <c r="C70" t="s">
        <v>15</v>
      </c>
      <c r="D70" t="s">
        <v>175</v>
      </c>
      <c r="E70" t="s">
        <v>234</v>
      </c>
      <c r="F70" t="s">
        <v>290</v>
      </c>
      <c r="G70" t="s">
        <v>354</v>
      </c>
      <c r="H70" s="2">
        <v>40947</v>
      </c>
      <c r="I70" t="s">
        <v>30</v>
      </c>
      <c r="J70" t="s">
        <v>33</v>
      </c>
      <c r="K70">
        <v>7</v>
      </c>
      <c r="L70">
        <v>1</v>
      </c>
      <c r="M70">
        <v>0</v>
      </c>
      <c r="O70" t="s">
        <v>516</v>
      </c>
    </row>
    <row r="71" spans="1:15" x14ac:dyDescent="0.2">
      <c r="A71" t="s">
        <v>466</v>
      </c>
      <c r="B71">
        <f t="shared" si="1"/>
        <v>1</v>
      </c>
      <c r="C71" t="s">
        <v>15</v>
      </c>
      <c r="D71" t="s">
        <v>139</v>
      </c>
      <c r="E71" t="s">
        <v>118</v>
      </c>
      <c r="F71" t="s">
        <v>231</v>
      </c>
      <c r="G71" t="s">
        <v>354</v>
      </c>
      <c r="H71" s="2">
        <v>40899</v>
      </c>
      <c r="I71" t="s">
        <v>30</v>
      </c>
      <c r="J71" t="s">
        <v>33</v>
      </c>
      <c r="K71">
        <v>8</v>
      </c>
      <c r="L71">
        <v>1</v>
      </c>
      <c r="M71">
        <v>0</v>
      </c>
      <c r="O71" t="s">
        <v>515</v>
      </c>
    </row>
    <row r="72" spans="1:15" x14ac:dyDescent="0.2">
      <c r="A72" t="s">
        <v>466</v>
      </c>
      <c r="B72">
        <f t="shared" si="1"/>
        <v>1</v>
      </c>
      <c r="C72" t="s">
        <v>15</v>
      </c>
      <c r="D72" t="s">
        <v>176</v>
      </c>
      <c r="E72" t="s">
        <v>291</v>
      </c>
      <c r="F72" t="s">
        <v>292</v>
      </c>
      <c r="G72" t="s">
        <v>354</v>
      </c>
      <c r="H72" s="2">
        <v>40808</v>
      </c>
      <c r="I72" t="s">
        <v>30</v>
      </c>
      <c r="J72" t="s">
        <v>33</v>
      </c>
      <c r="K72">
        <v>11</v>
      </c>
      <c r="L72">
        <v>1</v>
      </c>
      <c r="M72">
        <v>1</v>
      </c>
      <c r="O72" t="s">
        <v>517</v>
      </c>
    </row>
    <row r="73" spans="1:15" x14ac:dyDescent="0.2">
      <c r="A73" t="s">
        <v>466</v>
      </c>
      <c r="B73">
        <f t="shared" si="1"/>
        <v>1</v>
      </c>
      <c r="C73" t="s">
        <v>15</v>
      </c>
      <c r="D73" t="s">
        <v>177</v>
      </c>
      <c r="E73" t="s">
        <v>293</v>
      </c>
      <c r="F73" t="s">
        <v>258</v>
      </c>
      <c r="G73" t="s">
        <v>354</v>
      </c>
      <c r="H73" s="2">
        <v>40989</v>
      </c>
      <c r="I73" t="s">
        <v>30</v>
      </c>
      <c r="J73" t="s">
        <v>33</v>
      </c>
      <c r="K73">
        <v>10</v>
      </c>
      <c r="L73">
        <v>0</v>
      </c>
      <c r="M73">
        <v>0</v>
      </c>
      <c r="N73" t="s">
        <v>433</v>
      </c>
      <c r="O73" t="s">
        <v>518</v>
      </c>
    </row>
    <row r="74" spans="1:15" x14ac:dyDescent="0.2">
      <c r="A74" t="s">
        <v>466</v>
      </c>
      <c r="B74">
        <f t="shared" si="1"/>
        <v>1</v>
      </c>
      <c r="C74" t="s">
        <v>15</v>
      </c>
      <c r="D74" t="s">
        <v>178</v>
      </c>
      <c r="E74" t="s">
        <v>294</v>
      </c>
      <c r="F74" t="s">
        <v>295</v>
      </c>
      <c r="G74" t="s">
        <v>354</v>
      </c>
      <c r="H74" s="2">
        <v>40934</v>
      </c>
      <c r="I74" t="s">
        <v>30</v>
      </c>
      <c r="J74" t="s">
        <v>222</v>
      </c>
      <c r="K74">
        <v>3</v>
      </c>
      <c r="L74">
        <v>0</v>
      </c>
      <c r="M74">
        <v>0</v>
      </c>
      <c r="N74" t="s">
        <v>465</v>
      </c>
      <c r="O74" t="s">
        <v>519</v>
      </c>
    </row>
    <row r="75" spans="1:15" x14ac:dyDescent="0.2">
      <c r="A75" t="s">
        <v>466</v>
      </c>
      <c r="B75">
        <f t="shared" si="1"/>
        <v>1</v>
      </c>
      <c r="C75" t="s">
        <v>15</v>
      </c>
      <c r="D75" t="s">
        <v>179</v>
      </c>
      <c r="E75" t="s">
        <v>296</v>
      </c>
      <c r="F75" t="s">
        <v>297</v>
      </c>
      <c r="G75" t="s">
        <v>354</v>
      </c>
      <c r="H75" s="2">
        <v>40920</v>
      </c>
      <c r="I75" t="s">
        <v>30</v>
      </c>
      <c r="J75" t="s">
        <v>93</v>
      </c>
      <c r="K75">
        <v>7</v>
      </c>
      <c r="L75">
        <v>1</v>
      </c>
      <c r="M75">
        <v>0</v>
      </c>
      <c r="O75" t="s">
        <v>520</v>
      </c>
    </row>
    <row r="76" spans="1:15" x14ac:dyDescent="0.2">
      <c r="A76" t="s">
        <v>466</v>
      </c>
      <c r="B76">
        <f t="shared" si="1"/>
        <v>1</v>
      </c>
      <c r="C76" t="s">
        <v>15</v>
      </c>
      <c r="D76" t="s">
        <v>180</v>
      </c>
      <c r="E76" t="s">
        <v>110</v>
      </c>
      <c r="F76" t="s">
        <v>298</v>
      </c>
      <c r="G76" t="s">
        <v>354</v>
      </c>
      <c r="H76" s="2">
        <v>40842</v>
      </c>
      <c r="I76" t="s">
        <v>30</v>
      </c>
      <c r="J76" t="s">
        <v>223</v>
      </c>
      <c r="K76">
        <v>2</v>
      </c>
      <c r="L76">
        <v>1</v>
      </c>
      <c r="M76">
        <v>0</v>
      </c>
      <c r="O76" t="s">
        <v>521</v>
      </c>
    </row>
    <row r="77" spans="1:15" x14ac:dyDescent="0.2">
      <c r="A77" t="s">
        <v>466</v>
      </c>
      <c r="B77">
        <f t="shared" si="1"/>
        <v>1</v>
      </c>
      <c r="C77" t="s">
        <v>15</v>
      </c>
      <c r="D77" t="s">
        <v>181</v>
      </c>
      <c r="E77" t="s">
        <v>299</v>
      </c>
      <c r="F77" t="s">
        <v>300</v>
      </c>
      <c r="G77" t="s">
        <v>354</v>
      </c>
      <c r="H77" s="2">
        <v>40624</v>
      </c>
      <c r="I77" t="s">
        <v>30</v>
      </c>
      <c r="J77" t="s">
        <v>223</v>
      </c>
      <c r="K77">
        <v>3</v>
      </c>
      <c r="L77">
        <v>1</v>
      </c>
      <c r="M77">
        <v>0</v>
      </c>
    </row>
    <row r="78" spans="1:15" x14ac:dyDescent="0.2">
      <c r="A78" t="s">
        <v>466</v>
      </c>
      <c r="B78">
        <f t="shared" si="1"/>
        <v>1</v>
      </c>
      <c r="C78" t="s">
        <v>15</v>
      </c>
      <c r="D78" t="s">
        <v>182</v>
      </c>
      <c r="E78" t="s">
        <v>301</v>
      </c>
      <c r="F78" t="s">
        <v>302</v>
      </c>
      <c r="G78" t="s">
        <v>354</v>
      </c>
      <c r="H78" s="2">
        <v>40868</v>
      </c>
      <c r="I78" t="s">
        <v>30</v>
      </c>
      <c r="J78" t="s">
        <v>94</v>
      </c>
      <c r="K78">
        <v>2</v>
      </c>
      <c r="L78">
        <v>1</v>
      </c>
      <c r="M78">
        <v>0</v>
      </c>
      <c r="O78" t="s">
        <v>522</v>
      </c>
    </row>
    <row r="79" spans="1:15" x14ac:dyDescent="0.2">
      <c r="A79" t="s">
        <v>466</v>
      </c>
      <c r="B79">
        <f t="shared" si="1"/>
        <v>1</v>
      </c>
      <c r="C79" t="s">
        <v>15</v>
      </c>
      <c r="D79" t="s">
        <v>183</v>
      </c>
      <c r="E79" t="s">
        <v>303</v>
      </c>
      <c r="F79" t="s">
        <v>304</v>
      </c>
      <c r="G79" t="s">
        <v>354</v>
      </c>
      <c r="H79" s="2">
        <v>40842</v>
      </c>
      <c r="I79" t="s">
        <v>30</v>
      </c>
      <c r="J79" t="s">
        <v>36</v>
      </c>
      <c r="K79">
        <v>7</v>
      </c>
      <c r="L79">
        <v>1</v>
      </c>
      <c r="M79">
        <v>0</v>
      </c>
    </row>
    <row r="80" spans="1:15" x14ac:dyDescent="0.2">
      <c r="A80" t="s">
        <v>466</v>
      </c>
      <c r="B80">
        <f t="shared" si="1"/>
        <v>1</v>
      </c>
      <c r="C80" t="s">
        <v>15</v>
      </c>
      <c r="D80" t="s">
        <v>184</v>
      </c>
      <c r="E80" t="s">
        <v>305</v>
      </c>
      <c r="F80" t="s">
        <v>306</v>
      </c>
      <c r="G80" t="s">
        <v>354</v>
      </c>
      <c r="H80" s="2">
        <v>40826</v>
      </c>
      <c r="I80" t="s">
        <v>30</v>
      </c>
      <c r="J80" t="s">
        <v>224</v>
      </c>
      <c r="K80">
        <v>13</v>
      </c>
      <c r="L80">
        <v>1</v>
      </c>
      <c r="M80">
        <v>0</v>
      </c>
      <c r="O80" t="s">
        <v>523</v>
      </c>
    </row>
    <row r="81" spans="1:15" x14ac:dyDescent="0.2">
      <c r="A81" t="s">
        <v>466</v>
      </c>
      <c r="B81">
        <f t="shared" si="1"/>
        <v>1</v>
      </c>
      <c r="C81" t="s">
        <v>15</v>
      </c>
      <c r="D81" t="s">
        <v>185</v>
      </c>
      <c r="E81" t="s">
        <v>307</v>
      </c>
      <c r="F81" t="s">
        <v>308</v>
      </c>
      <c r="G81" t="s">
        <v>354</v>
      </c>
      <c r="H81" s="2">
        <v>40851</v>
      </c>
      <c r="I81" t="s">
        <v>30</v>
      </c>
      <c r="J81" t="s">
        <v>224</v>
      </c>
      <c r="K81">
        <v>19</v>
      </c>
      <c r="L81">
        <v>1</v>
      </c>
      <c r="M81">
        <v>0</v>
      </c>
      <c r="O81" t="s">
        <v>524</v>
      </c>
    </row>
    <row r="82" spans="1:15" x14ac:dyDescent="0.2">
      <c r="A82" t="s">
        <v>466</v>
      </c>
      <c r="B82">
        <f t="shared" si="1"/>
        <v>1</v>
      </c>
      <c r="C82" t="s">
        <v>15</v>
      </c>
      <c r="D82" t="s">
        <v>186</v>
      </c>
      <c r="E82" t="s">
        <v>309</v>
      </c>
      <c r="F82" t="s">
        <v>310</v>
      </c>
      <c r="G82" t="s">
        <v>354</v>
      </c>
      <c r="H82" s="2">
        <v>40833</v>
      </c>
      <c r="I82" t="s">
        <v>30</v>
      </c>
      <c r="J82" t="s">
        <v>95</v>
      </c>
      <c r="K82">
        <v>5</v>
      </c>
      <c r="L82">
        <v>1</v>
      </c>
      <c r="M82">
        <v>0</v>
      </c>
      <c r="O82" t="s">
        <v>525</v>
      </c>
    </row>
    <row r="83" spans="1:15" x14ac:dyDescent="0.2">
      <c r="A83" t="s">
        <v>466</v>
      </c>
      <c r="B83">
        <f t="shared" si="1"/>
        <v>1</v>
      </c>
      <c r="C83" t="s">
        <v>15</v>
      </c>
      <c r="D83" t="s">
        <v>187</v>
      </c>
      <c r="E83" t="s">
        <v>311</v>
      </c>
      <c r="F83" t="s">
        <v>312</v>
      </c>
      <c r="G83" t="s">
        <v>354</v>
      </c>
      <c r="H83" s="2">
        <v>40833</v>
      </c>
      <c r="I83" t="s">
        <v>30</v>
      </c>
      <c r="J83" t="s">
        <v>95</v>
      </c>
      <c r="K83">
        <v>6</v>
      </c>
      <c r="L83">
        <v>1</v>
      </c>
      <c r="M83">
        <v>0</v>
      </c>
      <c r="O83" t="s">
        <v>525</v>
      </c>
    </row>
    <row r="84" spans="1:15" x14ac:dyDescent="0.2">
      <c r="A84" t="s">
        <v>466</v>
      </c>
      <c r="B84">
        <f t="shared" si="1"/>
        <v>1</v>
      </c>
      <c r="C84" t="s">
        <v>15</v>
      </c>
      <c r="D84" t="s">
        <v>188</v>
      </c>
      <c r="E84" t="s">
        <v>313</v>
      </c>
      <c r="F84" t="s">
        <v>314</v>
      </c>
      <c r="G84" t="s">
        <v>354</v>
      </c>
      <c r="H84" s="2">
        <v>40833</v>
      </c>
      <c r="I84" t="s">
        <v>30</v>
      </c>
      <c r="J84" t="s">
        <v>95</v>
      </c>
      <c r="K84">
        <v>10</v>
      </c>
      <c r="L84">
        <v>1</v>
      </c>
      <c r="M84">
        <v>0</v>
      </c>
      <c r="O84" t="s">
        <v>525</v>
      </c>
    </row>
    <row r="85" spans="1:15" x14ac:dyDescent="0.2">
      <c r="A85" t="s">
        <v>466</v>
      </c>
      <c r="B85">
        <f t="shared" si="1"/>
        <v>1</v>
      </c>
      <c r="C85" t="s">
        <v>15</v>
      </c>
      <c r="D85" t="s">
        <v>189</v>
      </c>
      <c r="E85" t="s">
        <v>118</v>
      </c>
      <c r="F85" t="s">
        <v>315</v>
      </c>
      <c r="G85" t="s">
        <v>354</v>
      </c>
      <c r="H85" s="2">
        <v>40925</v>
      </c>
      <c r="I85" t="s">
        <v>30</v>
      </c>
      <c r="J85" t="s">
        <v>97</v>
      </c>
      <c r="K85">
        <v>3</v>
      </c>
      <c r="L85">
        <v>1</v>
      </c>
      <c r="M85">
        <v>0</v>
      </c>
    </row>
    <row r="86" spans="1:15" x14ac:dyDescent="0.2">
      <c r="A86" t="s">
        <v>466</v>
      </c>
      <c r="B86">
        <f t="shared" si="1"/>
        <v>1</v>
      </c>
      <c r="C86" t="s">
        <v>15</v>
      </c>
      <c r="D86" t="s">
        <v>190</v>
      </c>
      <c r="E86" t="s">
        <v>236</v>
      </c>
      <c r="F86" t="s">
        <v>316</v>
      </c>
      <c r="G86" t="s">
        <v>354</v>
      </c>
      <c r="H86" s="2">
        <v>40960</v>
      </c>
      <c r="I86" t="s">
        <v>30</v>
      </c>
      <c r="J86" t="s">
        <v>97</v>
      </c>
      <c r="K86">
        <v>14</v>
      </c>
      <c r="L86">
        <v>1</v>
      </c>
      <c r="M86">
        <v>0</v>
      </c>
      <c r="O86" t="s">
        <v>526</v>
      </c>
    </row>
    <row r="87" spans="1:15" x14ac:dyDescent="0.2">
      <c r="A87" t="s">
        <v>466</v>
      </c>
      <c r="B87">
        <f t="shared" si="1"/>
        <v>1</v>
      </c>
      <c r="C87" t="s">
        <v>15</v>
      </c>
      <c r="D87" t="s">
        <v>191</v>
      </c>
      <c r="E87" t="s">
        <v>108</v>
      </c>
      <c r="F87" t="s">
        <v>317</v>
      </c>
      <c r="G87" t="s">
        <v>354</v>
      </c>
      <c r="H87" s="2">
        <v>40841</v>
      </c>
      <c r="I87" t="s">
        <v>30</v>
      </c>
      <c r="J87" t="s">
        <v>97</v>
      </c>
      <c r="K87">
        <v>16</v>
      </c>
      <c r="L87">
        <v>1</v>
      </c>
      <c r="M87">
        <v>0</v>
      </c>
      <c r="O87" t="s">
        <v>527</v>
      </c>
    </row>
    <row r="88" spans="1:15" x14ac:dyDescent="0.2">
      <c r="A88" t="s">
        <v>466</v>
      </c>
      <c r="B88">
        <f t="shared" si="1"/>
        <v>1</v>
      </c>
      <c r="C88" t="s">
        <v>15</v>
      </c>
      <c r="D88" t="s">
        <v>192</v>
      </c>
      <c r="E88" t="s">
        <v>318</v>
      </c>
      <c r="F88" t="s">
        <v>319</v>
      </c>
      <c r="G88" t="s">
        <v>354</v>
      </c>
      <c r="H88" s="2">
        <v>40830</v>
      </c>
      <c r="I88" t="s">
        <v>30</v>
      </c>
      <c r="J88" t="s">
        <v>225</v>
      </c>
      <c r="K88">
        <v>2</v>
      </c>
      <c r="L88">
        <v>1</v>
      </c>
      <c r="M88">
        <v>0</v>
      </c>
    </row>
    <row r="89" spans="1:15" x14ac:dyDescent="0.2">
      <c r="A89" t="s">
        <v>466</v>
      </c>
      <c r="B89">
        <f t="shared" si="1"/>
        <v>1</v>
      </c>
      <c r="C89" t="s">
        <v>15</v>
      </c>
      <c r="D89" t="s">
        <v>193</v>
      </c>
      <c r="E89" t="s">
        <v>108</v>
      </c>
      <c r="F89" t="s">
        <v>320</v>
      </c>
      <c r="G89" t="s">
        <v>354</v>
      </c>
      <c r="H89" s="2">
        <v>40856</v>
      </c>
      <c r="I89" t="s">
        <v>30</v>
      </c>
      <c r="J89" t="s">
        <v>226</v>
      </c>
      <c r="K89">
        <v>6</v>
      </c>
      <c r="L89">
        <v>1</v>
      </c>
      <c r="M89">
        <v>0</v>
      </c>
    </row>
    <row r="90" spans="1:15" x14ac:dyDescent="0.2">
      <c r="A90" t="s">
        <v>466</v>
      </c>
      <c r="B90">
        <f t="shared" si="1"/>
        <v>1</v>
      </c>
      <c r="C90" t="s">
        <v>15</v>
      </c>
      <c r="D90" t="s">
        <v>194</v>
      </c>
      <c r="E90" t="s">
        <v>118</v>
      </c>
      <c r="F90" t="s">
        <v>321</v>
      </c>
      <c r="G90" t="s">
        <v>354</v>
      </c>
      <c r="H90" s="2">
        <v>40995</v>
      </c>
      <c r="I90" t="s">
        <v>30</v>
      </c>
      <c r="J90" t="s">
        <v>226</v>
      </c>
      <c r="K90">
        <v>8</v>
      </c>
      <c r="L90">
        <v>1</v>
      </c>
      <c r="M90">
        <v>0</v>
      </c>
    </row>
    <row r="91" spans="1:15" x14ac:dyDescent="0.2">
      <c r="A91" t="s">
        <v>466</v>
      </c>
      <c r="B91">
        <f t="shared" si="1"/>
        <v>1</v>
      </c>
      <c r="C91" t="s">
        <v>15</v>
      </c>
      <c r="D91" t="s">
        <v>195</v>
      </c>
      <c r="E91" t="s">
        <v>58</v>
      </c>
      <c r="F91" t="s">
        <v>322</v>
      </c>
      <c r="G91" t="s">
        <v>354</v>
      </c>
      <c r="H91" s="2">
        <v>40981</v>
      </c>
      <c r="I91" t="s">
        <v>30</v>
      </c>
      <c r="J91" t="s">
        <v>226</v>
      </c>
      <c r="K91">
        <v>9</v>
      </c>
      <c r="L91">
        <v>1</v>
      </c>
      <c r="M91">
        <v>0</v>
      </c>
    </row>
    <row r="92" spans="1:15" x14ac:dyDescent="0.2">
      <c r="A92" t="s">
        <v>466</v>
      </c>
      <c r="B92">
        <f t="shared" si="1"/>
        <v>1</v>
      </c>
      <c r="C92" t="s">
        <v>15</v>
      </c>
      <c r="D92" t="s">
        <v>196</v>
      </c>
      <c r="E92" t="s">
        <v>301</v>
      </c>
      <c r="F92" t="s">
        <v>323</v>
      </c>
      <c r="G92" t="s">
        <v>354</v>
      </c>
      <c r="H92" s="2">
        <v>40981</v>
      </c>
      <c r="I92" t="s">
        <v>30</v>
      </c>
      <c r="J92" t="s">
        <v>226</v>
      </c>
      <c r="K92">
        <v>15</v>
      </c>
      <c r="L92">
        <v>1</v>
      </c>
      <c r="M92">
        <v>0</v>
      </c>
    </row>
    <row r="93" spans="1:15" x14ac:dyDescent="0.2">
      <c r="A93" t="s">
        <v>466</v>
      </c>
      <c r="B93">
        <f t="shared" si="1"/>
        <v>1</v>
      </c>
      <c r="C93" t="s">
        <v>15</v>
      </c>
      <c r="D93" t="s">
        <v>197</v>
      </c>
      <c r="E93" t="s">
        <v>50</v>
      </c>
      <c r="F93" t="s">
        <v>324</v>
      </c>
      <c r="G93" t="s">
        <v>354</v>
      </c>
      <c r="H93" s="2">
        <v>40882</v>
      </c>
      <c r="I93" t="s">
        <v>30</v>
      </c>
      <c r="J93" t="s">
        <v>38</v>
      </c>
      <c r="K93">
        <v>1</v>
      </c>
      <c r="L93">
        <v>1</v>
      </c>
      <c r="M93">
        <v>0</v>
      </c>
    </row>
    <row r="94" spans="1:15" x14ac:dyDescent="0.2">
      <c r="A94" t="s">
        <v>466</v>
      </c>
      <c r="B94">
        <f t="shared" si="1"/>
        <v>1</v>
      </c>
      <c r="C94" t="s">
        <v>15</v>
      </c>
      <c r="D94" t="s">
        <v>198</v>
      </c>
      <c r="E94" t="s">
        <v>325</v>
      </c>
      <c r="F94" t="s">
        <v>326</v>
      </c>
      <c r="G94" t="s">
        <v>354</v>
      </c>
      <c r="H94" s="2">
        <v>40882</v>
      </c>
      <c r="I94" t="s">
        <v>30</v>
      </c>
      <c r="J94" t="s">
        <v>38</v>
      </c>
      <c r="K94">
        <v>2</v>
      </c>
      <c r="L94">
        <v>1</v>
      </c>
      <c r="M94">
        <v>0</v>
      </c>
    </row>
    <row r="95" spans="1:15" x14ac:dyDescent="0.2">
      <c r="A95" t="s">
        <v>466</v>
      </c>
      <c r="B95">
        <f t="shared" si="1"/>
        <v>1</v>
      </c>
      <c r="C95" t="s">
        <v>15</v>
      </c>
      <c r="D95" t="s">
        <v>199</v>
      </c>
      <c r="E95" t="s">
        <v>327</v>
      </c>
      <c r="F95" t="s">
        <v>328</v>
      </c>
      <c r="G95" t="s">
        <v>354</v>
      </c>
      <c r="H95" s="2">
        <v>40882</v>
      </c>
      <c r="I95" t="s">
        <v>30</v>
      </c>
      <c r="J95" t="s">
        <v>38</v>
      </c>
      <c r="K95">
        <v>6</v>
      </c>
      <c r="L95">
        <v>1</v>
      </c>
      <c r="M95">
        <v>0</v>
      </c>
    </row>
    <row r="96" spans="1:15" x14ac:dyDescent="0.2">
      <c r="A96" t="s">
        <v>466</v>
      </c>
      <c r="B96">
        <f t="shared" si="1"/>
        <v>1</v>
      </c>
      <c r="C96" t="s">
        <v>15</v>
      </c>
      <c r="D96" t="s">
        <v>200</v>
      </c>
      <c r="E96" t="s">
        <v>112</v>
      </c>
      <c r="F96" t="s">
        <v>329</v>
      </c>
      <c r="G96" t="s">
        <v>354</v>
      </c>
      <c r="H96" s="2">
        <v>40970</v>
      </c>
      <c r="I96" t="s">
        <v>30</v>
      </c>
      <c r="J96" t="s">
        <v>38</v>
      </c>
      <c r="K96">
        <v>4</v>
      </c>
      <c r="L96">
        <v>1</v>
      </c>
      <c r="M96">
        <v>0</v>
      </c>
    </row>
    <row r="97" spans="1:13" x14ac:dyDescent="0.2">
      <c r="A97" t="s">
        <v>466</v>
      </c>
      <c r="B97">
        <f t="shared" si="1"/>
        <v>1</v>
      </c>
      <c r="C97" t="s">
        <v>15</v>
      </c>
      <c r="D97" t="s">
        <v>201</v>
      </c>
      <c r="E97" t="s">
        <v>118</v>
      </c>
      <c r="F97" t="s">
        <v>330</v>
      </c>
      <c r="G97" t="s">
        <v>354</v>
      </c>
      <c r="H97" s="2">
        <v>40928</v>
      </c>
      <c r="I97" t="s">
        <v>30</v>
      </c>
      <c r="J97" t="s">
        <v>227</v>
      </c>
      <c r="K97">
        <v>11</v>
      </c>
      <c r="L97">
        <v>1</v>
      </c>
      <c r="M97">
        <v>0</v>
      </c>
    </row>
    <row r="98" spans="1:13" x14ac:dyDescent="0.2">
      <c r="A98" t="s">
        <v>466</v>
      </c>
      <c r="B98">
        <f t="shared" si="1"/>
        <v>1</v>
      </c>
      <c r="C98" t="s">
        <v>15</v>
      </c>
      <c r="D98" t="s">
        <v>202</v>
      </c>
      <c r="E98" t="s">
        <v>331</v>
      </c>
      <c r="F98" t="s">
        <v>332</v>
      </c>
      <c r="G98" t="s">
        <v>354</v>
      </c>
      <c r="H98" s="2">
        <v>40928</v>
      </c>
      <c r="I98" t="s">
        <v>30</v>
      </c>
      <c r="J98" t="s">
        <v>227</v>
      </c>
      <c r="K98">
        <v>12</v>
      </c>
      <c r="L98">
        <v>1</v>
      </c>
      <c r="M98">
        <v>0</v>
      </c>
    </row>
    <row r="99" spans="1:13" x14ac:dyDescent="0.2">
      <c r="A99" t="s">
        <v>466</v>
      </c>
      <c r="B99">
        <f t="shared" si="1"/>
        <v>1</v>
      </c>
      <c r="C99" t="s">
        <v>15</v>
      </c>
      <c r="D99" t="s">
        <v>203</v>
      </c>
      <c r="E99" t="s">
        <v>333</v>
      </c>
      <c r="F99" t="s">
        <v>334</v>
      </c>
      <c r="G99" t="s">
        <v>354</v>
      </c>
      <c r="H99" s="2">
        <v>41004</v>
      </c>
      <c r="I99" t="s">
        <v>30</v>
      </c>
      <c r="J99" t="s">
        <v>227</v>
      </c>
      <c r="K99">
        <v>13</v>
      </c>
      <c r="L99">
        <v>1</v>
      </c>
      <c r="M99">
        <v>0</v>
      </c>
    </row>
    <row r="100" spans="1:13" x14ac:dyDescent="0.2">
      <c r="A100" t="s">
        <v>466</v>
      </c>
      <c r="B100">
        <f t="shared" si="1"/>
        <v>1</v>
      </c>
      <c r="C100" t="s">
        <v>15</v>
      </c>
      <c r="D100" t="s">
        <v>204</v>
      </c>
      <c r="E100" t="s">
        <v>130</v>
      </c>
      <c r="F100" t="s">
        <v>335</v>
      </c>
      <c r="G100" t="s">
        <v>354</v>
      </c>
      <c r="H100" s="2">
        <v>40842</v>
      </c>
      <c r="I100" t="s">
        <v>30</v>
      </c>
      <c r="J100" t="s">
        <v>227</v>
      </c>
      <c r="K100">
        <v>21</v>
      </c>
      <c r="L100">
        <v>1</v>
      </c>
      <c r="M100">
        <v>0</v>
      </c>
    </row>
    <row r="101" spans="1:13" x14ac:dyDescent="0.2">
      <c r="A101" t="s">
        <v>466</v>
      </c>
      <c r="B101">
        <f t="shared" si="1"/>
        <v>1</v>
      </c>
      <c r="C101" t="s">
        <v>15</v>
      </c>
      <c r="D101" t="s">
        <v>205</v>
      </c>
      <c r="E101" t="s">
        <v>336</v>
      </c>
      <c r="F101" t="s">
        <v>337</v>
      </c>
      <c r="G101" t="s">
        <v>354</v>
      </c>
      <c r="H101" s="2">
        <v>40928</v>
      </c>
      <c r="I101" t="s">
        <v>30</v>
      </c>
      <c r="J101" t="s">
        <v>227</v>
      </c>
      <c r="K101">
        <v>22</v>
      </c>
      <c r="L101">
        <v>1</v>
      </c>
      <c r="M101">
        <v>0</v>
      </c>
    </row>
    <row r="102" spans="1:13" x14ac:dyDescent="0.2">
      <c r="A102" t="s">
        <v>466</v>
      </c>
      <c r="B102">
        <f t="shared" si="1"/>
        <v>1</v>
      </c>
      <c r="C102" t="s">
        <v>15</v>
      </c>
      <c r="D102" t="s">
        <v>206</v>
      </c>
      <c r="E102" t="s">
        <v>106</v>
      </c>
      <c r="F102" t="s">
        <v>338</v>
      </c>
      <c r="G102" t="s">
        <v>354</v>
      </c>
      <c r="H102" s="2">
        <v>41004</v>
      </c>
      <c r="I102" t="s">
        <v>30</v>
      </c>
      <c r="J102" t="s">
        <v>227</v>
      </c>
      <c r="K102">
        <v>31</v>
      </c>
      <c r="L102">
        <v>1</v>
      </c>
      <c r="M102">
        <v>0</v>
      </c>
    </row>
    <row r="103" spans="1:13" x14ac:dyDescent="0.2">
      <c r="A103" t="s">
        <v>466</v>
      </c>
      <c r="B103">
        <f t="shared" si="1"/>
        <v>1</v>
      </c>
      <c r="C103" t="s">
        <v>15</v>
      </c>
      <c r="D103" t="s">
        <v>207</v>
      </c>
      <c r="E103" t="s">
        <v>336</v>
      </c>
      <c r="F103" t="s">
        <v>339</v>
      </c>
      <c r="G103" t="s">
        <v>354</v>
      </c>
      <c r="H103" s="2">
        <v>41004</v>
      </c>
      <c r="I103" t="s">
        <v>30</v>
      </c>
      <c r="J103" t="s">
        <v>227</v>
      </c>
      <c r="K103">
        <v>32</v>
      </c>
      <c r="L103">
        <v>1</v>
      </c>
      <c r="M103">
        <v>0</v>
      </c>
    </row>
    <row r="104" spans="1:13" x14ac:dyDescent="0.2">
      <c r="A104" t="s">
        <v>466</v>
      </c>
      <c r="B104">
        <f t="shared" si="1"/>
        <v>1</v>
      </c>
      <c r="C104" t="s">
        <v>15</v>
      </c>
      <c r="D104" t="s">
        <v>208</v>
      </c>
      <c r="E104" t="s">
        <v>125</v>
      </c>
      <c r="F104" t="s">
        <v>340</v>
      </c>
      <c r="G104" t="s">
        <v>354</v>
      </c>
      <c r="H104" s="2">
        <v>40730</v>
      </c>
      <c r="I104" t="s">
        <v>30</v>
      </c>
      <c r="J104" t="s">
        <v>40</v>
      </c>
      <c r="K104">
        <v>1</v>
      </c>
      <c r="L104">
        <v>1</v>
      </c>
      <c r="M104">
        <v>0</v>
      </c>
    </row>
    <row r="105" spans="1:13" x14ac:dyDescent="0.2">
      <c r="A105" t="s">
        <v>466</v>
      </c>
      <c r="B105">
        <f t="shared" si="1"/>
        <v>1</v>
      </c>
      <c r="C105" t="s">
        <v>15</v>
      </c>
      <c r="D105" t="s">
        <v>209</v>
      </c>
      <c r="E105" t="s">
        <v>341</v>
      </c>
      <c r="F105" t="s">
        <v>342</v>
      </c>
      <c r="G105" t="s">
        <v>354</v>
      </c>
      <c r="H105" s="2">
        <v>40729</v>
      </c>
      <c r="I105" t="s">
        <v>30</v>
      </c>
      <c r="J105" t="s">
        <v>40</v>
      </c>
      <c r="K105">
        <v>3</v>
      </c>
      <c r="L105">
        <v>1</v>
      </c>
      <c r="M105">
        <v>0</v>
      </c>
    </row>
    <row r="106" spans="1:13" x14ac:dyDescent="0.2">
      <c r="A106" t="s">
        <v>466</v>
      </c>
      <c r="B106">
        <f t="shared" si="1"/>
        <v>1</v>
      </c>
      <c r="C106" t="s">
        <v>15</v>
      </c>
      <c r="D106" t="s">
        <v>210</v>
      </c>
      <c r="E106" t="s">
        <v>343</v>
      </c>
      <c r="F106" t="s">
        <v>344</v>
      </c>
      <c r="G106" t="s">
        <v>354</v>
      </c>
      <c r="H106" s="2">
        <v>40972</v>
      </c>
      <c r="I106" t="s">
        <v>30</v>
      </c>
      <c r="J106" t="s">
        <v>39</v>
      </c>
      <c r="K106">
        <v>7</v>
      </c>
      <c r="L106">
        <v>1</v>
      </c>
      <c r="M106">
        <v>0</v>
      </c>
    </row>
    <row r="107" spans="1:13" x14ac:dyDescent="0.2">
      <c r="A107" t="s">
        <v>466</v>
      </c>
      <c r="B107">
        <f t="shared" si="1"/>
        <v>1</v>
      </c>
      <c r="C107" t="s">
        <v>15</v>
      </c>
      <c r="D107" t="s">
        <v>211</v>
      </c>
      <c r="E107" t="s">
        <v>345</v>
      </c>
      <c r="F107" t="s">
        <v>346</v>
      </c>
      <c r="G107" t="s">
        <v>354</v>
      </c>
      <c r="H107" s="2">
        <v>40945</v>
      </c>
      <c r="I107" t="s">
        <v>30</v>
      </c>
      <c r="J107" t="s">
        <v>228</v>
      </c>
      <c r="K107">
        <v>3</v>
      </c>
      <c r="L107">
        <v>1</v>
      </c>
      <c r="M107">
        <v>0</v>
      </c>
    </row>
    <row r="108" spans="1:13" x14ac:dyDescent="0.2">
      <c r="A108" t="s">
        <v>466</v>
      </c>
      <c r="B108">
        <f t="shared" si="1"/>
        <v>1</v>
      </c>
      <c r="C108" t="s">
        <v>15</v>
      </c>
      <c r="D108" t="s">
        <v>212</v>
      </c>
      <c r="E108" t="s">
        <v>347</v>
      </c>
      <c r="F108" t="s">
        <v>348</v>
      </c>
      <c r="G108" t="s">
        <v>354</v>
      </c>
      <c r="H108" s="2">
        <v>40884</v>
      </c>
      <c r="I108" t="s">
        <v>30</v>
      </c>
      <c r="J108" t="s">
        <v>228</v>
      </c>
      <c r="K108">
        <v>5</v>
      </c>
      <c r="L108">
        <v>1</v>
      </c>
      <c r="M108">
        <v>0</v>
      </c>
    </row>
    <row r="109" spans="1:13" x14ac:dyDescent="0.2">
      <c r="A109" t="s">
        <v>466</v>
      </c>
      <c r="B109">
        <f t="shared" si="1"/>
        <v>1</v>
      </c>
      <c r="C109" t="s">
        <v>15</v>
      </c>
      <c r="D109" t="s">
        <v>213</v>
      </c>
      <c r="E109" t="s">
        <v>52</v>
      </c>
      <c r="F109" t="s">
        <v>349</v>
      </c>
      <c r="G109" t="s">
        <v>354</v>
      </c>
      <c r="H109" s="2">
        <v>40967</v>
      </c>
      <c r="I109" t="s">
        <v>30</v>
      </c>
      <c r="J109" t="s">
        <v>228</v>
      </c>
      <c r="K109">
        <v>8</v>
      </c>
      <c r="L109">
        <v>1</v>
      </c>
      <c r="M109">
        <v>0</v>
      </c>
    </row>
    <row r="110" spans="1:13" x14ac:dyDescent="0.2">
      <c r="A110" t="s">
        <v>466</v>
      </c>
      <c r="B110">
        <f t="shared" si="1"/>
        <v>1</v>
      </c>
      <c r="C110" t="s">
        <v>15</v>
      </c>
      <c r="D110" t="s">
        <v>214</v>
      </c>
      <c r="E110" t="s">
        <v>350</v>
      </c>
      <c r="F110" t="s">
        <v>351</v>
      </c>
      <c r="G110" t="s">
        <v>354</v>
      </c>
      <c r="H110" s="2">
        <v>40998</v>
      </c>
      <c r="I110" t="s">
        <v>30</v>
      </c>
      <c r="J110" t="s">
        <v>100</v>
      </c>
      <c r="K110">
        <v>1</v>
      </c>
      <c r="L110">
        <v>1</v>
      </c>
      <c r="M110">
        <v>0</v>
      </c>
    </row>
    <row r="111" spans="1:13" x14ac:dyDescent="0.2">
      <c r="A111" t="s">
        <v>466</v>
      </c>
      <c r="B111">
        <f t="shared" si="1"/>
        <v>1</v>
      </c>
      <c r="C111" t="s">
        <v>15</v>
      </c>
      <c r="D111" t="s">
        <v>215</v>
      </c>
      <c r="E111" t="s">
        <v>352</v>
      </c>
      <c r="F111" t="s">
        <v>353</v>
      </c>
      <c r="G111" t="s">
        <v>354</v>
      </c>
      <c r="H111" s="2">
        <v>40861</v>
      </c>
      <c r="I111" t="s">
        <v>30</v>
      </c>
      <c r="J111" t="s">
        <v>229</v>
      </c>
      <c r="L111">
        <v>1</v>
      </c>
      <c r="M111">
        <v>0</v>
      </c>
    </row>
    <row r="112" spans="1:13" x14ac:dyDescent="0.2">
      <c r="A112" t="s">
        <v>466</v>
      </c>
      <c r="B112">
        <f t="shared" si="1"/>
        <v>1</v>
      </c>
      <c r="C112" t="s">
        <v>355</v>
      </c>
      <c r="D112" t="s">
        <v>356</v>
      </c>
      <c r="E112" t="s">
        <v>373</v>
      </c>
      <c r="F112" t="s">
        <v>374</v>
      </c>
      <c r="G112" t="s">
        <v>29</v>
      </c>
      <c r="H112" s="2">
        <v>40687</v>
      </c>
      <c r="I112" t="s">
        <v>30</v>
      </c>
      <c r="J112" t="s">
        <v>371</v>
      </c>
      <c r="L112">
        <v>1</v>
      </c>
      <c r="M112">
        <v>0</v>
      </c>
    </row>
    <row r="113" spans="1:14" x14ac:dyDescent="0.2">
      <c r="A113" t="s">
        <v>466</v>
      </c>
      <c r="B113">
        <f t="shared" si="1"/>
        <v>1</v>
      </c>
      <c r="C113" t="s">
        <v>355</v>
      </c>
      <c r="D113" t="s">
        <v>357</v>
      </c>
      <c r="E113" t="s">
        <v>48</v>
      </c>
      <c r="F113" t="s">
        <v>375</v>
      </c>
      <c r="G113" t="s">
        <v>29</v>
      </c>
      <c r="H113" s="2">
        <v>40927</v>
      </c>
      <c r="I113" t="s">
        <v>30</v>
      </c>
      <c r="J113" t="s">
        <v>227</v>
      </c>
      <c r="L113">
        <v>1</v>
      </c>
      <c r="M113">
        <v>0</v>
      </c>
    </row>
    <row r="114" spans="1:14" x14ac:dyDescent="0.2">
      <c r="A114" t="s">
        <v>466</v>
      </c>
      <c r="B114">
        <f t="shared" si="1"/>
        <v>1</v>
      </c>
      <c r="C114" t="s">
        <v>355</v>
      </c>
      <c r="D114" t="s">
        <v>358</v>
      </c>
      <c r="E114" t="s">
        <v>376</v>
      </c>
      <c r="F114" t="s">
        <v>377</v>
      </c>
      <c r="G114" t="s">
        <v>354</v>
      </c>
      <c r="H114" s="2">
        <v>40921</v>
      </c>
      <c r="I114" t="s">
        <v>30</v>
      </c>
      <c r="J114" t="s">
        <v>31</v>
      </c>
      <c r="K114">
        <v>2</v>
      </c>
      <c r="L114">
        <v>0</v>
      </c>
      <c r="M114">
        <v>0</v>
      </c>
      <c r="N114" t="s">
        <v>457</v>
      </c>
    </row>
    <row r="115" spans="1:14" x14ac:dyDescent="0.2">
      <c r="A115" t="s">
        <v>466</v>
      </c>
      <c r="B115">
        <f t="shared" si="1"/>
        <v>1</v>
      </c>
      <c r="C115" t="s">
        <v>355</v>
      </c>
      <c r="D115" t="s">
        <v>359</v>
      </c>
      <c r="E115" t="s">
        <v>284</v>
      </c>
      <c r="F115" t="s">
        <v>378</v>
      </c>
      <c r="G115" t="s">
        <v>354</v>
      </c>
      <c r="J115" t="s">
        <v>218</v>
      </c>
      <c r="K115">
        <v>3</v>
      </c>
      <c r="L115">
        <v>1</v>
      </c>
      <c r="M115">
        <v>0</v>
      </c>
    </row>
    <row r="116" spans="1:14" x14ac:dyDescent="0.2">
      <c r="A116" t="s">
        <v>466</v>
      </c>
      <c r="B116">
        <f t="shared" si="1"/>
        <v>1</v>
      </c>
      <c r="C116" t="s">
        <v>355</v>
      </c>
      <c r="D116" t="s">
        <v>360</v>
      </c>
      <c r="E116" t="s">
        <v>379</v>
      </c>
      <c r="F116" t="s">
        <v>380</v>
      </c>
      <c r="G116" t="s">
        <v>354</v>
      </c>
      <c r="H116" s="2">
        <v>40909</v>
      </c>
      <c r="I116" t="s">
        <v>370</v>
      </c>
      <c r="J116" t="s">
        <v>101</v>
      </c>
      <c r="K116">
        <v>26</v>
      </c>
      <c r="L116">
        <v>1</v>
      </c>
      <c r="M116">
        <v>0</v>
      </c>
    </row>
    <row r="117" spans="1:14" x14ac:dyDescent="0.2">
      <c r="A117" t="s">
        <v>466</v>
      </c>
      <c r="B117">
        <f t="shared" si="1"/>
        <v>1</v>
      </c>
      <c r="C117" t="s">
        <v>355</v>
      </c>
      <c r="D117" t="s">
        <v>361</v>
      </c>
      <c r="E117" t="s">
        <v>381</v>
      </c>
      <c r="F117" t="s">
        <v>382</v>
      </c>
      <c r="G117" t="s">
        <v>354</v>
      </c>
      <c r="H117" s="2">
        <v>40680</v>
      </c>
      <c r="I117" t="s">
        <v>30</v>
      </c>
      <c r="J117" t="s">
        <v>371</v>
      </c>
      <c r="K117">
        <v>1</v>
      </c>
      <c r="L117">
        <v>1</v>
      </c>
      <c r="M117">
        <v>0</v>
      </c>
    </row>
    <row r="118" spans="1:14" x14ac:dyDescent="0.2">
      <c r="A118" t="s">
        <v>466</v>
      </c>
      <c r="B118">
        <f t="shared" si="1"/>
        <v>1</v>
      </c>
      <c r="C118" t="s">
        <v>355</v>
      </c>
      <c r="D118" t="s">
        <v>362</v>
      </c>
      <c r="E118" t="s">
        <v>383</v>
      </c>
      <c r="F118" t="s">
        <v>384</v>
      </c>
      <c r="G118" t="s">
        <v>354</v>
      </c>
      <c r="H118" s="2">
        <v>40885</v>
      </c>
      <c r="I118" t="s">
        <v>30</v>
      </c>
      <c r="J118" t="s">
        <v>371</v>
      </c>
      <c r="K118">
        <v>3</v>
      </c>
      <c r="L118">
        <v>1</v>
      </c>
      <c r="M118">
        <v>0</v>
      </c>
    </row>
    <row r="119" spans="1:14" x14ac:dyDescent="0.2">
      <c r="A119" t="s">
        <v>466</v>
      </c>
      <c r="B119">
        <f t="shared" si="1"/>
        <v>1</v>
      </c>
      <c r="C119" t="s">
        <v>355</v>
      </c>
      <c r="D119" t="s">
        <v>363</v>
      </c>
      <c r="E119" t="s">
        <v>127</v>
      </c>
      <c r="F119" t="s">
        <v>385</v>
      </c>
      <c r="G119" t="s">
        <v>354</v>
      </c>
      <c r="H119" s="2">
        <v>40676</v>
      </c>
      <c r="I119" t="s">
        <v>30</v>
      </c>
      <c r="J119" t="s">
        <v>371</v>
      </c>
      <c r="K119">
        <v>6</v>
      </c>
      <c r="L119">
        <v>1</v>
      </c>
      <c r="M119">
        <v>0</v>
      </c>
    </row>
    <row r="120" spans="1:14" x14ac:dyDescent="0.2">
      <c r="A120" t="s">
        <v>466</v>
      </c>
      <c r="B120">
        <f t="shared" si="1"/>
        <v>1</v>
      </c>
      <c r="C120" t="s">
        <v>355</v>
      </c>
      <c r="D120" t="s">
        <v>364</v>
      </c>
      <c r="E120" t="s">
        <v>112</v>
      </c>
      <c r="F120" t="s">
        <v>386</v>
      </c>
      <c r="G120" t="s">
        <v>354</v>
      </c>
      <c r="J120" t="s">
        <v>371</v>
      </c>
      <c r="K120">
        <v>8</v>
      </c>
      <c r="L120">
        <v>1</v>
      </c>
      <c r="M120">
        <v>0</v>
      </c>
    </row>
    <row r="121" spans="1:14" x14ac:dyDescent="0.2">
      <c r="A121" t="s">
        <v>466</v>
      </c>
      <c r="B121">
        <f t="shared" si="1"/>
        <v>1</v>
      </c>
      <c r="C121" t="s">
        <v>355</v>
      </c>
      <c r="D121" t="s">
        <v>365</v>
      </c>
      <c r="E121" t="s">
        <v>50</v>
      </c>
      <c r="F121" t="s">
        <v>387</v>
      </c>
      <c r="G121" t="s">
        <v>354</v>
      </c>
      <c r="J121" t="s">
        <v>371</v>
      </c>
      <c r="K121">
        <v>11</v>
      </c>
      <c r="L121">
        <v>1</v>
      </c>
      <c r="M121">
        <v>0</v>
      </c>
    </row>
    <row r="122" spans="1:14" x14ac:dyDescent="0.2">
      <c r="A122" t="s">
        <v>466</v>
      </c>
      <c r="B122">
        <f t="shared" si="1"/>
        <v>1</v>
      </c>
      <c r="C122" t="s">
        <v>355</v>
      </c>
      <c r="D122" t="s">
        <v>366</v>
      </c>
      <c r="E122" t="s">
        <v>284</v>
      </c>
      <c r="F122" t="s">
        <v>388</v>
      </c>
      <c r="G122" t="s">
        <v>354</v>
      </c>
      <c r="J122" t="s">
        <v>219</v>
      </c>
      <c r="K122">
        <v>5</v>
      </c>
      <c r="L122">
        <v>1</v>
      </c>
      <c r="M122">
        <v>0</v>
      </c>
    </row>
    <row r="123" spans="1:14" x14ac:dyDescent="0.2">
      <c r="A123" t="s">
        <v>466</v>
      </c>
      <c r="B123">
        <f t="shared" si="1"/>
        <v>1</v>
      </c>
      <c r="C123" t="s">
        <v>355</v>
      </c>
      <c r="D123" t="s">
        <v>367</v>
      </c>
      <c r="E123" t="s">
        <v>389</v>
      </c>
      <c r="F123" t="s">
        <v>390</v>
      </c>
      <c r="G123" t="s">
        <v>354</v>
      </c>
      <c r="H123" s="2">
        <v>40876</v>
      </c>
      <c r="I123" t="s">
        <v>30</v>
      </c>
      <c r="J123" t="s">
        <v>372</v>
      </c>
      <c r="K123">
        <v>1</v>
      </c>
      <c r="L123">
        <v>1</v>
      </c>
      <c r="M123">
        <v>0</v>
      </c>
    </row>
    <row r="124" spans="1:14" x14ac:dyDescent="0.2">
      <c r="A124" t="s">
        <v>466</v>
      </c>
      <c r="B124">
        <f t="shared" si="1"/>
        <v>1</v>
      </c>
      <c r="C124" t="s">
        <v>355</v>
      </c>
      <c r="D124" t="s">
        <v>368</v>
      </c>
      <c r="E124" t="s">
        <v>299</v>
      </c>
      <c r="F124" t="s">
        <v>391</v>
      </c>
      <c r="G124" t="s">
        <v>354</v>
      </c>
      <c r="H124" s="2">
        <v>40675</v>
      </c>
      <c r="I124" t="s">
        <v>30</v>
      </c>
      <c r="J124" t="s">
        <v>227</v>
      </c>
      <c r="K124">
        <v>6</v>
      </c>
      <c r="L124">
        <v>1</v>
      </c>
      <c r="M124">
        <v>0</v>
      </c>
    </row>
    <row r="125" spans="1:14" x14ac:dyDescent="0.2">
      <c r="A125" t="s">
        <v>466</v>
      </c>
      <c r="B125">
        <f t="shared" si="1"/>
        <v>1</v>
      </c>
      <c r="C125" t="s">
        <v>355</v>
      </c>
      <c r="D125" t="s">
        <v>369</v>
      </c>
      <c r="E125" t="s">
        <v>305</v>
      </c>
      <c r="F125" t="s">
        <v>392</v>
      </c>
      <c r="G125" t="s">
        <v>354</v>
      </c>
      <c r="J125" t="s">
        <v>227</v>
      </c>
      <c r="K125">
        <v>26</v>
      </c>
      <c r="L125">
        <v>1</v>
      </c>
      <c r="M125">
        <v>0</v>
      </c>
    </row>
    <row r="126" spans="1:14" x14ac:dyDescent="0.2">
      <c r="A126" t="s">
        <v>466</v>
      </c>
      <c r="B126">
        <f t="shared" si="1"/>
        <v>1</v>
      </c>
      <c r="C126" t="s">
        <v>350</v>
      </c>
      <c r="D126" t="s">
        <v>393</v>
      </c>
      <c r="E126" t="s">
        <v>398</v>
      </c>
      <c r="F126" t="s">
        <v>350</v>
      </c>
      <c r="G126" t="s">
        <v>89</v>
      </c>
      <c r="J126" t="s">
        <v>220</v>
      </c>
      <c r="L126">
        <v>1</v>
      </c>
      <c r="M126">
        <v>0</v>
      </c>
    </row>
    <row r="127" spans="1:14" x14ac:dyDescent="0.2">
      <c r="A127" t="s">
        <v>466</v>
      </c>
      <c r="B127">
        <f t="shared" si="1"/>
        <v>1</v>
      </c>
      <c r="C127" t="s">
        <v>350</v>
      </c>
      <c r="D127" t="s">
        <v>394</v>
      </c>
      <c r="E127" t="s">
        <v>234</v>
      </c>
      <c r="F127" t="s">
        <v>136</v>
      </c>
      <c r="G127" t="s">
        <v>354</v>
      </c>
      <c r="H127" s="2">
        <v>40981</v>
      </c>
      <c r="I127" t="s">
        <v>30</v>
      </c>
      <c r="J127" t="s">
        <v>91</v>
      </c>
      <c r="K127">
        <v>15</v>
      </c>
      <c r="L127">
        <v>1</v>
      </c>
      <c r="M127">
        <v>0</v>
      </c>
    </row>
    <row r="128" spans="1:14" x14ac:dyDescent="0.2">
      <c r="A128" t="s">
        <v>466</v>
      </c>
      <c r="B128">
        <f t="shared" si="1"/>
        <v>1</v>
      </c>
      <c r="C128" t="s">
        <v>350</v>
      </c>
      <c r="D128" t="s">
        <v>396</v>
      </c>
      <c r="E128" t="s">
        <v>395</v>
      </c>
      <c r="F128" t="s">
        <v>399</v>
      </c>
      <c r="G128" t="s">
        <v>354</v>
      </c>
      <c r="H128" s="2">
        <v>40806</v>
      </c>
      <c r="I128" t="s">
        <v>30</v>
      </c>
      <c r="J128" t="s">
        <v>33</v>
      </c>
      <c r="K128">
        <v>3</v>
      </c>
      <c r="L128">
        <v>1</v>
      </c>
      <c r="M128">
        <v>0</v>
      </c>
    </row>
    <row r="129" spans="1:14" x14ac:dyDescent="0.2">
      <c r="A129" t="s">
        <v>466</v>
      </c>
      <c r="B129">
        <f t="shared" si="1"/>
        <v>1</v>
      </c>
      <c r="C129" t="s">
        <v>350</v>
      </c>
      <c r="D129" t="s">
        <v>397</v>
      </c>
      <c r="E129" t="s">
        <v>400</v>
      </c>
      <c r="F129" t="s">
        <v>401</v>
      </c>
      <c r="G129" t="s">
        <v>354</v>
      </c>
      <c r="J129" t="s">
        <v>95</v>
      </c>
      <c r="K129">
        <v>3</v>
      </c>
      <c r="L129">
        <v>1</v>
      </c>
      <c r="M129">
        <v>0</v>
      </c>
    </row>
    <row r="130" spans="1:14" x14ac:dyDescent="0.2">
      <c r="A130" t="s">
        <v>466</v>
      </c>
      <c r="B130">
        <f t="shared" si="1"/>
        <v>1</v>
      </c>
      <c r="C130" t="s">
        <v>402</v>
      </c>
      <c r="D130" t="s">
        <v>403</v>
      </c>
      <c r="E130" t="s">
        <v>272</v>
      </c>
      <c r="F130" t="s">
        <v>409</v>
      </c>
      <c r="G130" t="s">
        <v>354</v>
      </c>
      <c r="H130" s="2">
        <v>40963</v>
      </c>
      <c r="I130" t="s">
        <v>30</v>
      </c>
      <c r="J130" t="s">
        <v>216</v>
      </c>
      <c r="K130">
        <v>4</v>
      </c>
      <c r="L130">
        <v>1</v>
      </c>
      <c r="M130">
        <v>0</v>
      </c>
    </row>
    <row r="131" spans="1:14" x14ac:dyDescent="0.2">
      <c r="A131" t="s">
        <v>466</v>
      </c>
      <c r="B131">
        <f t="shared" ref="B131:B157" si="2">IF(A131="2012R",1,"")</f>
        <v>1</v>
      </c>
      <c r="C131" t="s">
        <v>402</v>
      </c>
      <c r="D131" t="s">
        <v>404</v>
      </c>
      <c r="E131" t="s">
        <v>410</v>
      </c>
      <c r="F131" t="s">
        <v>411</v>
      </c>
      <c r="G131" t="s">
        <v>354</v>
      </c>
      <c r="H131" s="2">
        <v>40981</v>
      </c>
      <c r="I131" t="s">
        <v>30</v>
      </c>
      <c r="J131" t="s">
        <v>34</v>
      </c>
      <c r="K131">
        <v>1</v>
      </c>
      <c r="L131">
        <v>1</v>
      </c>
      <c r="M131">
        <v>0</v>
      </c>
    </row>
    <row r="132" spans="1:14" x14ac:dyDescent="0.2">
      <c r="A132" t="s">
        <v>466</v>
      </c>
      <c r="B132">
        <f t="shared" si="2"/>
        <v>1</v>
      </c>
      <c r="C132" t="s">
        <v>402</v>
      </c>
      <c r="D132" t="s">
        <v>405</v>
      </c>
      <c r="E132" t="s">
        <v>412</v>
      </c>
      <c r="F132" t="s">
        <v>413</v>
      </c>
      <c r="G132" t="s">
        <v>354</v>
      </c>
      <c r="H132" s="2">
        <v>40978</v>
      </c>
      <c r="I132" t="s">
        <v>30</v>
      </c>
      <c r="J132" t="s">
        <v>93</v>
      </c>
      <c r="K132">
        <v>8</v>
      </c>
      <c r="L132">
        <v>1</v>
      </c>
      <c r="M132">
        <v>0</v>
      </c>
    </row>
    <row r="133" spans="1:14" x14ac:dyDescent="0.2">
      <c r="A133" t="s">
        <v>466</v>
      </c>
      <c r="B133">
        <f t="shared" si="2"/>
        <v>1</v>
      </c>
      <c r="C133" t="s">
        <v>402</v>
      </c>
      <c r="D133" t="s">
        <v>406</v>
      </c>
      <c r="E133" t="s">
        <v>414</v>
      </c>
      <c r="F133" t="s">
        <v>415</v>
      </c>
      <c r="G133" t="s">
        <v>354</v>
      </c>
      <c r="H133" s="2">
        <v>40915</v>
      </c>
      <c r="I133" t="s">
        <v>30</v>
      </c>
      <c r="J133" t="s">
        <v>226</v>
      </c>
      <c r="K133">
        <v>5</v>
      </c>
      <c r="L133">
        <v>1</v>
      </c>
      <c r="M133">
        <v>0</v>
      </c>
      <c r="N133" t="s">
        <v>419</v>
      </c>
    </row>
    <row r="134" spans="1:14" x14ac:dyDescent="0.2">
      <c r="A134" t="s">
        <v>466</v>
      </c>
      <c r="B134">
        <f t="shared" si="2"/>
        <v>1</v>
      </c>
      <c r="C134" t="s">
        <v>402</v>
      </c>
      <c r="D134" t="s">
        <v>407</v>
      </c>
      <c r="E134" t="s">
        <v>127</v>
      </c>
      <c r="F134" t="s">
        <v>416</v>
      </c>
      <c r="G134" t="s">
        <v>354</v>
      </c>
      <c r="H134" s="2">
        <v>40921</v>
      </c>
      <c r="I134" t="s">
        <v>30</v>
      </c>
      <c r="J134" t="s">
        <v>226</v>
      </c>
      <c r="K134">
        <v>10</v>
      </c>
      <c r="L134">
        <v>1</v>
      </c>
      <c r="M134">
        <v>0</v>
      </c>
    </row>
    <row r="135" spans="1:14" x14ac:dyDescent="0.2">
      <c r="A135" t="s">
        <v>466</v>
      </c>
      <c r="B135">
        <f t="shared" si="2"/>
        <v>1</v>
      </c>
      <c r="C135" t="s">
        <v>402</v>
      </c>
      <c r="D135" t="s">
        <v>408</v>
      </c>
      <c r="E135" t="s">
        <v>417</v>
      </c>
      <c r="F135" t="s">
        <v>418</v>
      </c>
      <c r="G135" t="s">
        <v>354</v>
      </c>
      <c r="H135" s="2">
        <v>40920</v>
      </c>
      <c r="I135" t="s">
        <v>30</v>
      </c>
      <c r="J135" t="s">
        <v>226</v>
      </c>
      <c r="K135">
        <v>11</v>
      </c>
      <c r="L135">
        <v>1</v>
      </c>
      <c r="M135">
        <v>0</v>
      </c>
    </row>
    <row r="136" spans="1:14" x14ac:dyDescent="0.2">
      <c r="A136" t="s">
        <v>466</v>
      </c>
      <c r="B136">
        <f t="shared" si="2"/>
        <v>1</v>
      </c>
      <c r="C136" t="s">
        <v>375</v>
      </c>
      <c r="D136" t="s">
        <v>420</v>
      </c>
      <c r="E136" t="s">
        <v>434</v>
      </c>
      <c r="F136" t="s">
        <v>435</v>
      </c>
      <c r="G136" t="s">
        <v>29</v>
      </c>
      <c r="H136" s="2">
        <v>40808</v>
      </c>
      <c r="I136" t="s">
        <v>30</v>
      </c>
      <c r="J136" t="s">
        <v>451</v>
      </c>
      <c r="L136">
        <v>1</v>
      </c>
      <c r="M136">
        <v>0</v>
      </c>
    </row>
    <row r="137" spans="1:14" x14ac:dyDescent="0.2">
      <c r="A137" t="s">
        <v>466</v>
      </c>
      <c r="B137">
        <f t="shared" si="2"/>
        <v>1</v>
      </c>
      <c r="C137" t="s">
        <v>375</v>
      </c>
      <c r="D137" t="s">
        <v>421</v>
      </c>
      <c r="E137" t="s">
        <v>436</v>
      </c>
      <c r="F137" t="s">
        <v>437</v>
      </c>
      <c r="G137" t="s">
        <v>29</v>
      </c>
      <c r="H137" s="2">
        <v>40798</v>
      </c>
      <c r="I137" t="s">
        <v>30</v>
      </c>
      <c r="J137" t="s">
        <v>221</v>
      </c>
      <c r="L137">
        <v>1</v>
      </c>
      <c r="M137">
        <v>0</v>
      </c>
    </row>
    <row r="138" spans="1:14" x14ac:dyDescent="0.2">
      <c r="A138" t="s">
        <v>466</v>
      </c>
      <c r="B138">
        <f t="shared" si="2"/>
        <v>1</v>
      </c>
      <c r="C138" t="s">
        <v>375</v>
      </c>
      <c r="D138" t="s">
        <v>422</v>
      </c>
      <c r="E138" t="s">
        <v>256</v>
      </c>
      <c r="F138" t="s">
        <v>438</v>
      </c>
      <c r="G138" t="s">
        <v>29</v>
      </c>
      <c r="H138" s="2">
        <v>40799</v>
      </c>
      <c r="I138" t="s">
        <v>30</v>
      </c>
      <c r="J138" t="s">
        <v>223</v>
      </c>
      <c r="L138">
        <v>1</v>
      </c>
      <c r="M138">
        <v>0</v>
      </c>
    </row>
    <row r="139" spans="1:14" x14ac:dyDescent="0.2">
      <c r="A139" t="s">
        <v>466</v>
      </c>
      <c r="B139">
        <f t="shared" si="2"/>
        <v>1</v>
      </c>
      <c r="C139" t="s">
        <v>375</v>
      </c>
      <c r="D139" t="s">
        <v>423</v>
      </c>
      <c r="E139" t="s">
        <v>108</v>
      </c>
      <c r="F139" t="s">
        <v>439</v>
      </c>
      <c r="G139" t="s">
        <v>89</v>
      </c>
      <c r="H139" s="2">
        <v>40784</v>
      </c>
      <c r="I139" t="s">
        <v>30</v>
      </c>
      <c r="J139" t="s">
        <v>98</v>
      </c>
      <c r="L139">
        <v>1</v>
      </c>
      <c r="M139">
        <v>0</v>
      </c>
    </row>
    <row r="140" spans="1:14" x14ac:dyDescent="0.2">
      <c r="A140" t="s">
        <v>466</v>
      </c>
      <c r="B140">
        <f t="shared" si="2"/>
        <v>1</v>
      </c>
      <c r="C140" t="s">
        <v>375</v>
      </c>
      <c r="D140" t="s">
        <v>424</v>
      </c>
      <c r="E140" t="s">
        <v>118</v>
      </c>
      <c r="F140" t="s">
        <v>440</v>
      </c>
      <c r="G140" t="s">
        <v>354</v>
      </c>
      <c r="H140" s="2">
        <v>40833</v>
      </c>
      <c r="I140" t="s">
        <v>30</v>
      </c>
      <c r="J140" t="s">
        <v>452</v>
      </c>
      <c r="K140">
        <v>6</v>
      </c>
      <c r="L140">
        <v>1</v>
      </c>
      <c r="M140">
        <v>0</v>
      </c>
    </row>
    <row r="141" spans="1:14" x14ac:dyDescent="0.2">
      <c r="A141" t="s">
        <v>466</v>
      </c>
      <c r="B141">
        <f t="shared" si="2"/>
        <v>1</v>
      </c>
      <c r="C141" t="s">
        <v>375</v>
      </c>
      <c r="D141" t="s">
        <v>425</v>
      </c>
      <c r="E141" t="s">
        <v>236</v>
      </c>
      <c r="F141" t="s">
        <v>441</v>
      </c>
      <c r="G141" t="s">
        <v>354</v>
      </c>
      <c r="H141" s="2">
        <v>40786</v>
      </c>
      <c r="I141" t="s">
        <v>30</v>
      </c>
      <c r="J141" t="s">
        <v>221</v>
      </c>
      <c r="K141">
        <v>1</v>
      </c>
      <c r="L141">
        <v>1</v>
      </c>
      <c r="M141">
        <v>0</v>
      </c>
    </row>
    <row r="142" spans="1:14" x14ac:dyDescent="0.2">
      <c r="A142" t="s">
        <v>466</v>
      </c>
      <c r="B142">
        <f t="shared" si="2"/>
        <v>1</v>
      </c>
      <c r="C142" t="s">
        <v>375</v>
      </c>
      <c r="D142" t="s">
        <v>177</v>
      </c>
      <c r="E142" t="s">
        <v>293</v>
      </c>
      <c r="F142" t="s">
        <v>258</v>
      </c>
      <c r="G142" t="s">
        <v>354</v>
      </c>
      <c r="H142" s="2">
        <v>40794</v>
      </c>
      <c r="I142" t="s">
        <v>30</v>
      </c>
      <c r="J142" t="s">
        <v>33</v>
      </c>
      <c r="K142">
        <v>10</v>
      </c>
      <c r="L142">
        <v>1</v>
      </c>
      <c r="M142">
        <v>0</v>
      </c>
    </row>
    <row r="143" spans="1:14" x14ac:dyDescent="0.2">
      <c r="A143" t="s">
        <v>466</v>
      </c>
      <c r="B143">
        <f t="shared" si="2"/>
        <v>1</v>
      </c>
      <c r="C143" t="s">
        <v>375</v>
      </c>
      <c r="D143" t="s">
        <v>426</v>
      </c>
      <c r="E143" t="s">
        <v>434</v>
      </c>
      <c r="F143" t="s">
        <v>442</v>
      </c>
      <c r="G143" t="s">
        <v>354</v>
      </c>
      <c r="H143" s="2">
        <v>40769</v>
      </c>
      <c r="I143" t="s">
        <v>30</v>
      </c>
      <c r="J143" t="s">
        <v>93</v>
      </c>
      <c r="K143">
        <v>6</v>
      </c>
      <c r="L143">
        <v>1</v>
      </c>
      <c r="M143">
        <v>0</v>
      </c>
      <c r="N143" t="s">
        <v>455</v>
      </c>
    </row>
    <row r="144" spans="1:14" x14ac:dyDescent="0.2">
      <c r="A144" t="s">
        <v>466</v>
      </c>
      <c r="B144">
        <f t="shared" si="2"/>
        <v>1</v>
      </c>
      <c r="C144" t="s">
        <v>375</v>
      </c>
      <c r="D144" t="s">
        <v>427</v>
      </c>
      <c r="E144" t="s">
        <v>443</v>
      </c>
      <c r="F144" t="s">
        <v>444</v>
      </c>
      <c r="G144" t="s">
        <v>354</v>
      </c>
      <c r="H144" s="2">
        <v>40791</v>
      </c>
      <c r="I144" t="s">
        <v>30</v>
      </c>
      <c r="J144" t="s">
        <v>37</v>
      </c>
      <c r="K144">
        <v>5</v>
      </c>
      <c r="L144">
        <v>1</v>
      </c>
      <c r="M144">
        <v>0</v>
      </c>
    </row>
    <row r="145" spans="1:14" x14ac:dyDescent="0.2">
      <c r="A145" t="s">
        <v>466</v>
      </c>
      <c r="B145">
        <f t="shared" si="2"/>
        <v>1</v>
      </c>
      <c r="C145" t="s">
        <v>375</v>
      </c>
      <c r="D145" t="s">
        <v>428</v>
      </c>
      <c r="E145" t="s">
        <v>434</v>
      </c>
      <c r="F145" t="s">
        <v>136</v>
      </c>
      <c r="G145" t="s">
        <v>354</v>
      </c>
      <c r="J145" t="s">
        <v>227</v>
      </c>
      <c r="K145">
        <v>3</v>
      </c>
      <c r="L145">
        <v>1</v>
      </c>
      <c r="M145">
        <v>0</v>
      </c>
    </row>
    <row r="146" spans="1:14" x14ac:dyDescent="0.2">
      <c r="A146" t="s">
        <v>466</v>
      </c>
      <c r="B146">
        <f t="shared" si="2"/>
        <v>1</v>
      </c>
      <c r="C146" t="s">
        <v>375</v>
      </c>
      <c r="D146" t="s">
        <v>429</v>
      </c>
      <c r="E146" t="s">
        <v>445</v>
      </c>
      <c r="F146" t="s">
        <v>446</v>
      </c>
      <c r="G146" t="s">
        <v>354</v>
      </c>
      <c r="H146" s="2">
        <v>40780</v>
      </c>
      <c r="I146" t="s">
        <v>30</v>
      </c>
      <c r="J146" t="s">
        <v>227</v>
      </c>
      <c r="K146">
        <v>5</v>
      </c>
      <c r="L146">
        <v>1</v>
      </c>
      <c r="M146">
        <v>0</v>
      </c>
    </row>
    <row r="147" spans="1:14" x14ac:dyDescent="0.2">
      <c r="A147" t="s">
        <v>466</v>
      </c>
      <c r="B147">
        <f t="shared" si="2"/>
        <v>1</v>
      </c>
      <c r="C147" t="s">
        <v>375</v>
      </c>
      <c r="D147" t="s">
        <v>430</v>
      </c>
      <c r="E147" t="s">
        <v>106</v>
      </c>
      <c r="F147" t="s">
        <v>447</v>
      </c>
      <c r="G147" t="s">
        <v>354</v>
      </c>
      <c r="H147" s="2">
        <v>40772</v>
      </c>
      <c r="I147" t="s">
        <v>30</v>
      </c>
      <c r="J147" t="s">
        <v>227</v>
      </c>
      <c r="K147">
        <v>7</v>
      </c>
      <c r="L147">
        <v>1</v>
      </c>
      <c r="M147">
        <v>0</v>
      </c>
      <c r="N147" t="s">
        <v>454</v>
      </c>
    </row>
    <row r="148" spans="1:14" x14ac:dyDescent="0.2">
      <c r="A148" t="s">
        <v>466</v>
      </c>
      <c r="B148">
        <f t="shared" si="2"/>
        <v>1</v>
      </c>
      <c r="C148" t="s">
        <v>375</v>
      </c>
      <c r="D148" t="s">
        <v>431</v>
      </c>
      <c r="E148" t="s">
        <v>305</v>
      </c>
      <c r="F148" t="s">
        <v>448</v>
      </c>
      <c r="G148" t="s">
        <v>354</v>
      </c>
      <c r="H148" s="2">
        <v>40767</v>
      </c>
      <c r="I148" t="s">
        <v>30</v>
      </c>
      <c r="J148" t="s">
        <v>227</v>
      </c>
      <c r="K148">
        <v>10</v>
      </c>
      <c r="L148">
        <v>1</v>
      </c>
      <c r="M148">
        <v>0</v>
      </c>
      <c r="N148" t="s">
        <v>453</v>
      </c>
    </row>
    <row r="149" spans="1:14" x14ac:dyDescent="0.2">
      <c r="A149" t="s">
        <v>466</v>
      </c>
      <c r="B149">
        <f t="shared" si="2"/>
        <v>1</v>
      </c>
      <c r="C149" t="s">
        <v>375</v>
      </c>
      <c r="D149" t="s">
        <v>201</v>
      </c>
      <c r="E149" t="s">
        <v>118</v>
      </c>
      <c r="F149" t="s">
        <v>330</v>
      </c>
      <c r="G149" t="s">
        <v>354</v>
      </c>
      <c r="J149" t="s">
        <v>227</v>
      </c>
      <c r="K149">
        <v>11</v>
      </c>
      <c r="L149">
        <v>1</v>
      </c>
      <c r="M149">
        <v>0</v>
      </c>
    </row>
    <row r="150" spans="1:14" x14ac:dyDescent="0.2">
      <c r="A150" t="s">
        <v>466</v>
      </c>
      <c r="B150">
        <f t="shared" si="2"/>
        <v>1</v>
      </c>
      <c r="C150" t="s">
        <v>375</v>
      </c>
      <c r="D150" t="s">
        <v>432</v>
      </c>
      <c r="E150" t="s">
        <v>449</v>
      </c>
      <c r="F150" t="s">
        <v>450</v>
      </c>
      <c r="G150" t="s">
        <v>354</v>
      </c>
      <c r="H150" s="2">
        <v>40796</v>
      </c>
      <c r="I150" t="s">
        <v>30</v>
      </c>
      <c r="J150" t="s">
        <v>227</v>
      </c>
      <c r="K150">
        <v>24</v>
      </c>
      <c r="L150">
        <v>1</v>
      </c>
      <c r="M150">
        <v>0</v>
      </c>
    </row>
    <row r="151" spans="1:14" x14ac:dyDescent="0.2">
      <c r="A151" t="s">
        <v>466</v>
      </c>
      <c r="B151">
        <f t="shared" si="2"/>
        <v>1</v>
      </c>
      <c r="C151" t="s">
        <v>375</v>
      </c>
      <c r="D151" t="s">
        <v>206</v>
      </c>
      <c r="E151" t="s">
        <v>106</v>
      </c>
      <c r="F151" t="s">
        <v>338</v>
      </c>
      <c r="G151" t="s">
        <v>354</v>
      </c>
      <c r="J151" t="s">
        <v>227</v>
      </c>
      <c r="K151">
        <v>31</v>
      </c>
      <c r="L151">
        <v>1</v>
      </c>
      <c r="M151">
        <v>0</v>
      </c>
    </row>
    <row r="152" spans="1:14" x14ac:dyDescent="0.2">
      <c r="A152" t="s">
        <v>466</v>
      </c>
      <c r="B152">
        <f t="shared" si="2"/>
        <v>1</v>
      </c>
      <c r="C152" t="s">
        <v>375</v>
      </c>
      <c r="D152" t="s">
        <v>207</v>
      </c>
      <c r="E152" t="s">
        <v>336</v>
      </c>
      <c r="F152" t="s">
        <v>339</v>
      </c>
      <c r="G152" t="s">
        <v>354</v>
      </c>
      <c r="H152" s="2">
        <v>40780</v>
      </c>
      <c r="I152" t="s">
        <v>30</v>
      </c>
      <c r="J152" t="s">
        <v>227</v>
      </c>
      <c r="K152">
        <v>32</v>
      </c>
      <c r="L152">
        <v>1</v>
      </c>
      <c r="M152">
        <v>0</v>
      </c>
    </row>
    <row r="153" spans="1:14" x14ac:dyDescent="0.2">
      <c r="A153" t="s">
        <v>466</v>
      </c>
      <c r="B153">
        <f t="shared" si="2"/>
        <v>1</v>
      </c>
      <c r="C153" t="s">
        <v>456</v>
      </c>
      <c r="D153" t="s">
        <v>358</v>
      </c>
      <c r="E153" t="s">
        <v>376</v>
      </c>
      <c r="F153" t="s">
        <v>377</v>
      </c>
      <c r="G153" t="s">
        <v>354</v>
      </c>
      <c r="H153" s="2">
        <v>40878</v>
      </c>
      <c r="I153" t="s">
        <v>30</v>
      </c>
      <c r="J153" t="s">
        <v>31</v>
      </c>
      <c r="K153">
        <v>2</v>
      </c>
      <c r="L153">
        <v>1</v>
      </c>
      <c r="M153">
        <v>0</v>
      </c>
    </row>
    <row r="154" spans="1:14" x14ac:dyDescent="0.2">
      <c r="A154" t="s">
        <v>466</v>
      </c>
      <c r="B154">
        <f t="shared" si="2"/>
        <v>1</v>
      </c>
      <c r="C154" t="s">
        <v>458</v>
      </c>
      <c r="D154" t="s">
        <v>171</v>
      </c>
      <c r="E154" t="s">
        <v>284</v>
      </c>
      <c r="F154" t="s">
        <v>285</v>
      </c>
      <c r="G154" t="s">
        <v>354</v>
      </c>
      <c r="H154" s="2">
        <v>40852</v>
      </c>
      <c r="I154" t="s">
        <v>30</v>
      </c>
      <c r="J154" t="s">
        <v>33</v>
      </c>
      <c r="K154">
        <v>1</v>
      </c>
      <c r="L154">
        <v>1</v>
      </c>
      <c r="M154">
        <v>0</v>
      </c>
      <c r="N154" t="s">
        <v>459</v>
      </c>
    </row>
    <row r="155" spans="1:14" x14ac:dyDescent="0.2">
      <c r="A155" t="s">
        <v>466</v>
      </c>
      <c r="B155">
        <f t="shared" si="2"/>
        <v>1</v>
      </c>
      <c r="C155" t="s">
        <v>460</v>
      </c>
      <c r="D155" t="s">
        <v>461</v>
      </c>
      <c r="E155" t="s">
        <v>106</v>
      </c>
      <c r="F155" t="s">
        <v>462</v>
      </c>
      <c r="G155" t="s">
        <v>354</v>
      </c>
      <c r="H155" s="2">
        <v>40598</v>
      </c>
      <c r="I155" t="s">
        <v>30</v>
      </c>
      <c r="J155" t="s">
        <v>222</v>
      </c>
      <c r="K155">
        <v>2</v>
      </c>
      <c r="L155">
        <v>1</v>
      </c>
      <c r="M155">
        <v>0</v>
      </c>
    </row>
    <row r="156" spans="1:14" x14ac:dyDescent="0.2">
      <c r="A156" t="s">
        <v>466</v>
      </c>
      <c r="B156">
        <f t="shared" si="2"/>
        <v>1</v>
      </c>
      <c r="C156" t="s">
        <v>460</v>
      </c>
      <c r="D156" t="s">
        <v>178</v>
      </c>
      <c r="E156" t="s">
        <v>294</v>
      </c>
      <c r="F156" t="s">
        <v>295</v>
      </c>
      <c r="G156" t="s">
        <v>354</v>
      </c>
      <c r="J156" t="s">
        <v>222</v>
      </c>
      <c r="K156">
        <v>3</v>
      </c>
      <c r="L156">
        <v>1</v>
      </c>
      <c r="M156">
        <v>0</v>
      </c>
    </row>
    <row r="157" spans="1:14" x14ac:dyDescent="0.2">
      <c r="A157" t="s">
        <v>466</v>
      </c>
      <c r="B157">
        <f t="shared" si="2"/>
        <v>1</v>
      </c>
      <c r="C157" t="s">
        <v>460</v>
      </c>
      <c r="D157" t="s">
        <v>463</v>
      </c>
      <c r="E157" t="s">
        <v>299</v>
      </c>
      <c r="F157" t="s">
        <v>464</v>
      </c>
      <c r="G157" t="s">
        <v>354</v>
      </c>
      <c r="H157" s="2">
        <v>40703</v>
      </c>
      <c r="I157" t="s">
        <v>30</v>
      </c>
      <c r="J157" t="s">
        <v>37</v>
      </c>
      <c r="K157">
        <v>2</v>
      </c>
      <c r="L157">
        <v>1</v>
      </c>
      <c r="M157">
        <v>0</v>
      </c>
    </row>
  </sheetData>
  <dataValidations count="2">
    <dataValidation type="list" allowBlank="1" showInputMessage="1" showErrorMessage="1" sqref="G1:G1048576" xr:uid="{D5E7F73B-45C8-8640-9C6B-EBCB29CA5787}">
      <formula1>"Governor,U.S. Senator,U.S. Representative,Delegate to Congress"</formula1>
    </dataValidation>
    <dataValidation type="list" allowBlank="1" showInputMessage="1" showErrorMessage="1" sqref="I1:I1048576" xr:uid="{A400E6F9-B113-084E-8AC8-A0117BCD1329}">
      <formula1>"day,month,year"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Parslow</dc:creator>
  <cp:lastModifiedBy>Katherine Parslow</cp:lastModifiedBy>
  <dcterms:created xsi:type="dcterms:W3CDTF">2026-01-27T23:20:37Z</dcterms:created>
  <dcterms:modified xsi:type="dcterms:W3CDTF">2026-01-28T01:32:30Z</dcterms:modified>
</cp:coreProperties>
</file>